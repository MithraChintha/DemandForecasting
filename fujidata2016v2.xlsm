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31" codeName="{CE5639A9-099E-7A80-1F37-B0487AF4EC48}"/>
  <workbookPr codeName="ThisWorkbook" defaultThemeVersion="124226"/>
  <mc:AlternateContent xmlns:mc="http://schemas.openxmlformats.org/markup-compatibility/2006">
    <mc:Choice Requires="x15">
      <x15ac:absPath xmlns:x15ac="http://schemas.microsoft.com/office/spreadsheetml/2010/11/ac" url="F:\Fall 2016\ABI _ManuelNunez\Project -Dec 2\"/>
    </mc:Choice>
  </mc:AlternateContent>
  <bookViews>
    <workbookView xWindow="3744" yWindow="0" windowWidth="22104" windowHeight="9672" firstSheet="3" activeTab="9"/>
  </bookViews>
  <sheets>
    <sheet name="Orders Summary" sheetId="2" r:id="rId1"/>
    <sheet name="BloomField" sheetId="3" r:id="rId2"/>
    <sheet name="Farmington" sheetId="4" r:id="rId3"/>
    <sheet name="Glastonbury" sheetId="5" r:id="rId4"/>
    <sheet name="Hartford" sheetId="6" r:id="rId5"/>
    <sheet name="Manchester" sheetId="7" r:id="rId6"/>
    <sheet name="Southington" sheetId="8" r:id="rId7"/>
    <sheet name="West Hartford" sheetId="9" r:id="rId8"/>
    <sheet name="Windsor" sheetId="10" r:id="rId9"/>
    <sheet name="Models Summary" sheetId="11" r:id="rId10"/>
  </sheets>
  <functionGroups builtInGroupCount="18"/>
  <definedNames>
    <definedName name="solver_eng" localSheetId="1" hidden="1">1</definedName>
    <definedName name="solver_neg" localSheetId="1" hidden="1">1</definedName>
    <definedName name="solver_num" localSheetId="1" hidden="1">0</definedName>
    <definedName name="solver_opt" localSheetId="1" hidden="1">BloomField!$I$3</definedName>
    <definedName name="solver_typ" localSheetId="1" hidden="1">1</definedName>
    <definedName name="solver_val" localSheetId="1" hidden="1">0</definedName>
    <definedName name="solver_ver" localSheetId="1" hidden="1">3</definedName>
  </definedNames>
  <calcPr calcId="171027"/>
</workbook>
</file>

<file path=xl/calcChain.xml><?xml version="1.0" encoding="utf-8"?>
<calcChain xmlns="http://schemas.openxmlformats.org/spreadsheetml/2006/main">
  <c r="N10" i="11" l="1"/>
  <c r="O10" i="11"/>
  <c r="P10" i="11"/>
  <c r="Q10" i="11"/>
  <c r="R10" i="11"/>
  <c r="S10" i="11"/>
  <c r="T10" i="11"/>
  <c r="U10" i="11"/>
  <c r="M10" i="11"/>
  <c r="N9" i="11"/>
  <c r="O9" i="11"/>
  <c r="P9" i="11"/>
  <c r="Q9" i="11"/>
  <c r="R9" i="11"/>
  <c r="S9" i="11"/>
  <c r="T9" i="11"/>
  <c r="U9" i="11"/>
  <c r="M9" i="11"/>
  <c r="N8" i="11"/>
  <c r="O8" i="11"/>
  <c r="P8" i="11"/>
  <c r="Q8" i="11"/>
  <c r="R8" i="11"/>
  <c r="S8" i="11"/>
  <c r="T8" i="11"/>
  <c r="U8" i="11"/>
  <c r="M8" i="11"/>
  <c r="N7" i="11"/>
  <c r="O7" i="11"/>
  <c r="P7" i="11"/>
  <c r="Q7" i="11"/>
  <c r="R7" i="11"/>
  <c r="S7" i="11"/>
  <c r="T7" i="11"/>
  <c r="U7" i="11"/>
  <c r="M7" i="11"/>
  <c r="N6" i="11"/>
  <c r="O6" i="11"/>
  <c r="P6" i="11"/>
  <c r="Q6" i="11"/>
  <c r="R6" i="11"/>
  <c r="S6" i="11"/>
  <c r="T6" i="11"/>
  <c r="U6" i="11"/>
  <c r="M6" i="11"/>
  <c r="N5" i="11"/>
  <c r="O5" i="11"/>
  <c r="P5" i="11"/>
  <c r="Q5" i="11"/>
  <c r="R5" i="11"/>
  <c r="S5" i="11"/>
  <c r="T5" i="11"/>
  <c r="U5" i="11"/>
  <c r="M5" i="11"/>
  <c r="N4" i="11"/>
  <c r="O4" i="11"/>
  <c r="P4" i="11"/>
  <c r="Q4" i="11"/>
  <c r="R4" i="11"/>
  <c r="S4" i="11"/>
  <c r="T4" i="11"/>
  <c r="U4" i="11"/>
  <c r="M4" i="11"/>
  <c r="N3" i="11"/>
  <c r="O3" i="11"/>
  <c r="P3" i="11"/>
  <c r="Q3" i="11"/>
  <c r="R3" i="11"/>
  <c r="S3" i="11"/>
  <c r="T3" i="11"/>
  <c r="U3" i="11"/>
  <c r="M3" i="11"/>
  <c r="U31" i="10" l="1"/>
  <c r="U30" i="10"/>
  <c r="R36" i="10"/>
  <c r="R35" i="10"/>
  <c r="R34" i="10"/>
  <c r="R33" i="10"/>
  <c r="R32" i="10"/>
  <c r="R31" i="10"/>
  <c r="R30" i="10"/>
  <c r="M138" i="10"/>
  <c r="N138" i="10" s="1"/>
  <c r="K138" i="10"/>
  <c r="J138" i="10"/>
  <c r="I138" i="10"/>
  <c r="H138" i="10"/>
  <c r="M137" i="10"/>
  <c r="N137" i="10" s="1"/>
  <c r="K137" i="10"/>
  <c r="J137" i="10"/>
  <c r="I137" i="10"/>
  <c r="H137" i="10"/>
  <c r="M136" i="10"/>
  <c r="N136" i="10" s="1"/>
  <c r="K136" i="10"/>
  <c r="J136" i="10"/>
  <c r="I136" i="10"/>
  <c r="H136" i="10"/>
  <c r="M135" i="10"/>
  <c r="N135" i="10" s="1"/>
  <c r="K135" i="10"/>
  <c r="J135" i="10"/>
  <c r="I135" i="10"/>
  <c r="H135" i="10"/>
  <c r="M134" i="10"/>
  <c r="N134" i="10" s="1"/>
  <c r="K134" i="10"/>
  <c r="J134" i="10"/>
  <c r="I134" i="10"/>
  <c r="H134" i="10"/>
  <c r="M133" i="10"/>
  <c r="N133" i="10" s="1"/>
  <c r="K133" i="10"/>
  <c r="J133" i="10"/>
  <c r="I133" i="10"/>
  <c r="H133" i="10"/>
  <c r="M132" i="10"/>
  <c r="N132" i="10" s="1"/>
  <c r="K132" i="10"/>
  <c r="J132" i="10"/>
  <c r="I132" i="10"/>
  <c r="H132" i="10"/>
  <c r="M131" i="10"/>
  <c r="N131" i="10" s="1"/>
  <c r="K131" i="10"/>
  <c r="J131" i="10"/>
  <c r="I131" i="10"/>
  <c r="H131" i="10"/>
  <c r="M130" i="10"/>
  <c r="N130" i="10" s="1"/>
  <c r="K130" i="10"/>
  <c r="J130" i="10"/>
  <c r="I130" i="10"/>
  <c r="H130" i="10"/>
  <c r="M129" i="10"/>
  <c r="N129" i="10" s="1"/>
  <c r="K129" i="10"/>
  <c r="J129" i="10"/>
  <c r="I129" i="10"/>
  <c r="H129" i="10"/>
  <c r="U31" i="9"/>
  <c r="U30" i="9"/>
  <c r="R36" i="9"/>
  <c r="R35" i="9"/>
  <c r="R34" i="9"/>
  <c r="R33" i="9"/>
  <c r="R32" i="9"/>
  <c r="R31" i="9"/>
  <c r="R30" i="9"/>
  <c r="M138" i="9"/>
  <c r="N138" i="9" s="1"/>
  <c r="K138" i="9"/>
  <c r="J138" i="9"/>
  <c r="I138" i="9"/>
  <c r="H138" i="9"/>
  <c r="M137" i="9"/>
  <c r="N137" i="9" s="1"/>
  <c r="K137" i="9"/>
  <c r="J137" i="9"/>
  <c r="I137" i="9"/>
  <c r="H137" i="9"/>
  <c r="M136" i="9"/>
  <c r="N136" i="9" s="1"/>
  <c r="K136" i="9"/>
  <c r="J136" i="9"/>
  <c r="I136" i="9"/>
  <c r="H136" i="9"/>
  <c r="M135" i="9"/>
  <c r="N135" i="9" s="1"/>
  <c r="K135" i="9"/>
  <c r="J135" i="9"/>
  <c r="I135" i="9"/>
  <c r="H135" i="9"/>
  <c r="M134" i="9"/>
  <c r="N134" i="9" s="1"/>
  <c r="K134" i="9"/>
  <c r="J134" i="9"/>
  <c r="I134" i="9"/>
  <c r="H134" i="9"/>
  <c r="M133" i="9"/>
  <c r="N133" i="9" s="1"/>
  <c r="K133" i="9"/>
  <c r="J133" i="9"/>
  <c r="I133" i="9"/>
  <c r="H133" i="9"/>
  <c r="M132" i="9"/>
  <c r="N132" i="9" s="1"/>
  <c r="K132" i="9"/>
  <c r="J132" i="9"/>
  <c r="I132" i="9"/>
  <c r="H132" i="9"/>
  <c r="M131" i="9"/>
  <c r="N131" i="9" s="1"/>
  <c r="K131" i="9"/>
  <c r="J131" i="9"/>
  <c r="I131" i="9"/>
  <c r="H131" i="9"/>
  <c r="M130" i="9"/>
  <c r="N130" i="9" s="1"/>
  <c r="K130" i="9"/>
  <c r="J130" i="9"/>
  <c r="I130" i="9"/>
  <c r="H130" i="9"/>
  <c r="M129" i="9"/>
  <c r="N129" i="9" s="1"/>
  <c r="K129" i="9"/>
  <c r="J129" i="9"/>
  <c r="I129" i="9"/>
  <c r="H129" i="9"/>
  <c r="W33" i="8"/>
  <c r="W32" i="8"/>
  <c r="T38" i="8"/>
  <c r="T37" i="8"/>
  <c r="T36" i="8"/>
  <c r="T35" i="8"/>
  <c r="T34" i="8"/>
  <c r="T33" i="8"/>
  <c r="T32" i="8"/>
  <c r="O138" i="8"/>
  <c r="P138" i="8" s="1"/>
  <c r="M138" i="8"/>
  <c r="L138" i="8"/>
  <c r="K138" i="8"/>
  <c r="J138" i="8"/>
  <c r="I138" i="8"/>
  <c r="H138" i="8"/>
  <c r="O137" i="8"/>
  <c r="P137" i="8" s="1"/>
  <c r="M137" i="8"/>
  <c r="L137" i="8"/>
  <c r="K137" i="8"/>
  <c r="J137" i="8"/>
  <c r="I137" i="8"/>
  <c r="H137" i="8"/>
  <c r="O136" i="8"/>
  <c r="P136" i="8" s="1"/>
  <c r="M136" i="8"/>
  <c r="L136" i="8"/>
  <c r="K136" i="8"/>
  <c r="J136" i="8"/>
  <c r="I136" i="8"/>
  <c r="H136" i="8"/>
  <c r="O135" i="8"/>
  <c r="P135" i="8" s="1"/>
  <c r="M135" i="8"/>
  <c r="L135" i="8"/>
  <c r="K135" i="8"/>
  <c r="J135" i="8"/>
  <c r="I135" i="8"/>
  <c r="H135" i="8"/>
  <c r="O134" i="8"/>
  <c r="P134" i="8" s="1"/>
  <c r="M134" i="8"/>
  <c r="L134" i="8"/>
  <c r="K134" i="8"/>
  <c r="J134" i="8"/>
  <c r="I134" i="8"/>
  <c r="H134" i="8"/>
  <c r="O133" i="8"/>
  <c r="P133" i="8" s="1"/>
  <c r="M133" i="8"/>
  <c r="L133" i="8"/>
  <c r="K133" i="8"/>
  <c r="J133" i="8"/>
  <c r="I133" i="8"/>
  <c r="H133" i="8"/>
  <c r="O132" i="8"/>
  <c r="P132" i="8" s="1"/>
  <c r="M132" i="8"/>
  <c r="L132" i="8"/>
  <c r="K132" i="8"/>
  <c r="J132" i="8"/>
  <c r="I132" i="8"/>
  <c r="H132" i="8"/>
  <c r="O131" i="8"/>
  <c r="P131" i="8" s="1"/>
  <c r="M131" i="8"/>
  <c r="L131" i="8"/>
  <c r="K131" i="8"/>
  <c r="J131" i="8"/>
  <c r="I131" i="8"/>
  <c r="H131" i="8"/>
  <c r="O130" i="8"/>
  <c r="P130" i="8" s="1"/>
  <c r="M130" i="8"/>
  <c r="L130" i="8"/>
  <c r="K130" i="8"/>
  <c r="J130" i="8"/>
  <c r="I130" i="8"/>
  <c r="H130" i="8"/>
  <c r="O129" i="8"/>
  <c r="P129" i="8" s="1"/>
  <c r="M129" i="8"/>
  <c r="L129" i="8"/>
  <c r="K129" i="8"/>
  <c r="J129" i="8"/>
  <c r="I129" i="8"/>
  <c r="H129" i="8"/>
  <c r="S28" i="7"/>
  <c r="S27" i="7"/>
  <c r="P33" i="7"/>
  <c r="P32" i="7"/>
  <c r="P31" i="7"/>
  <c r="P30" i="7"/>
  <c r="P29" i="7"/>
  <c r="P28" i="7"/>
  <c r="P27" i="7"/>
  <c r="J138" i="7"/>
  <c r="K138" i="7" s="1"/>
  <c r="H138" i="7"/>
  <c r="J137" i="7"/>
  <c r="K137" i="7" s="1"/>
  <c r="H137" i="7"/>
  <c r="J136" i="7"/>
  <c r="K136" i="7" s="1"/>
  <c r="H136" i="7"/>
  <c r="J135" i="7"/>
  <c r="K135" i="7" s="1"/>
  <c r="H135" i="7"/>
  <c r="J134" i="7"/>
  <c r="K134" i="7" s="1"/>
  <c r="H134" i="7"/>
  <c r="J133" i="7"/>
  <c r="K133" i="7" s="1"/>
  <c r="H133" i="7"/>
  <c r="K132" i="7"/>
  <c r="J132" i="7"/>
  <c r="H132" i="7"/>
  <c r="J131" i="7"/>
  <c r="K131" i="7" s="1"/>
  <c r="H131" i="7"/>
  <c r="J130" i="7"/>
  <c r="K130" i="7" s="1"/>
  <c r="H130" i="7"/>
  <c r="J129" i="7"/>
  <c r="K129" i="7" s="1"/>
  <c r="H129" i="7"/>
  <c r="V31" i="6"/>
  <c r="V30" i="6"/>
  <c r="S36" i="6"/>
  <c r="S35" i="6"/>
  <c r="S34" i="6"/>
  <c r="S33" i="6"/>
  <c r="S32" i="6"/>
  <c r="S31" i="6"/>
  <c r="S30" i="6"/>
  <c r="M138" i="6"/>
  <c r="N138" i="6" s="1"/>
  <c r="K138" i="6"/>
  <c r="J138" i="6"/>
  <c r="I138" i="6"/>
  <c r="H138" i="6"/>
  <c r="M137" i="6"/>
  <c r="N137" i="6" s="1"/>
  <c r="K137" i="6"/>
  <c r="J137" i="6"/>
  <c r="I137" i="6"/>
  <c r="H137" i="6"/>
  <c r="M136" i="6"/>
  <c r="N136" i="6" s="1"/>
  <c r="K136" i="6"/>
  <c r="J136" i="6"/>
  <c r="I136" i="6"/>
  <c r="H136" i="6"/>
  <c r="M135" i="6"/>
  <c r="N135" i="6" s="1"/>
  <c r="K135" i="6"/>
  <c r="J135" i="6"/>
  <c r="I135" i="6"/>
  <c r="H135" i="6"/>
  <c r="M134" i="6"/>
  <c r="N134" i="6" s="1"/>
  <c r="K134" i="6"/>
  <c r="J134" i="6"/>
  <c r="I134" i="6"/>
  <c r="H134" i="6"/>
  <c r="M133" i="6"/>
  <c r="N133" i="6" s="1"/>
  <c r="K133" i="6"/>
  <c r="J133" i="6"/>
  <c r="I133" i="6"/>
  <c r="H133" i="6"/>
  <c r="M132" i="6"/>
  <c r="N132" i="6" s="1"/>
  <c r="K132" i="6"/>
  <c r="J132" i="6"/>
  <c r="I132" i="6"/>
  <c r="H132" i="6"/>
  <c r="M131" i="6"/>
  <c r="N131" i="6" s="1"/>
  <c r="K131" i="6"/>
  <c r="J131" i="6"/>
  <c r="I131" i="6"/>
  <c r="H131" i="6"/>
  <c r="M130" i="6"/>
  <c r="N130" i="6" s="1"/>
  <c r="K130" i="6"/>
  <c r="J130" i="6"/>
  <c r="I130" i="6"/>
  <c r="H130" i="6"/>
  <c r="M129" i="6"/>
  <c r="N129" i="6" s="1"/>
  <c r="K129" i="6"/>
  <c r="J129" i="6"/>
  <c r="I129" i="6"/>
  <c r="H129" i="6"/>
  <c r="X34" i="5"/>
  <c r="X33" i="5"/>
  <c r="U39" i="5"/>
  <c r="U38" i="5"/>
  <c r="U37" i="5"/>
  <c r="U36" i="5"/>
  <c r="U35" i="5"/>
  <c r="U34" i="5"/>
  <c r="U33" i="5"/>
  <c r="N138" i="5"/>
  <c r="O138" i="5" s="1"/>
  <c r="L138" i="5"/>
  <c r="K138" i="5"/>
  <c r="J138" i="5"/>
  <c r="I138" i="5"/>
  <c r="H138" i="5"/>
  <c r="N137" i="5"/>
  <c r="O137" i="5" s="1"/>
  <c r="L137" i="5"/>
  <c r="K137" i="5"/>
  <c r="J137" i="5"/>
  <c r="I137" i="5"/>
  <c r="H137" i="5"/>
  <c r="N136" i="5"/>
  <c r="O136" i="5" s="1"/>
  <c r="L136" i="5"/>
  <c r="K136" i="5"/>
  <c r="J136" i="5"/>
  <c r="I136" i="5"/>
  <c r="H136" i="5"/>
  <c r="N135" i="5"/>
  <c r="O135" i="5" s="1"/>
  <c r="L135" i="5"/>
  <c r="K135" i="5"/>
  <c r="J135" i="5"/>
  <c r="I135" i="5"/>
  <c r="H135" i="5"/>
  <c r="N134" i="5"/>
  <c r="O134" i="5" s="1"/>
  <c r="L134" i="5"/>
  <c r="K134" i="5"/>
  <c r="J134" i="5"/>
  <c r="I134" i="5"/>
  <c r="H134" i="5"/>
  <c r="N133" i="5"/>
  <c r="O133" i="5" s="1"/>
  <c r="L133" i="5"/>
  <c r="K133" i="5"/>
  <c r="J133" i="5"/>
  <c r="I133" i="5"/>
  <c r="H133" i="5"/>
  <c r="N132" i="5"/>
  <c r="O132" i="5" s="1"/>
  <c r="L132" i="5"/>
  <c r="K132" i="5"/>
  <c r="J132" i="5"/>
  <c r="I132" i="5"/>
  <c r="H132" i="5"/>
  <c r="N131" i="5"/>
  <c r="O131" i="5" s="1"/>
  <c r="L131" i="5"/>
  <c r="K131" i="5"/>
  <c r="J131" i="5"/>
  <c r="I131" i="5"/>
  <c r="H131" i="5"/>
  <c r="N130" i="5"/>
  <c r="O130" i="5" s="1"/>
  <c r="L130" i="5"/>
  <c r="K130" i="5"/>
  <c r="J130" i="5"/>
  <c r="I130" i="5"/>
  <c r="H130" i="5"/>
  <c r="N129" i="5"/>
  <c r="O129" i="5" s="1"/>
  <c r="L129" i="5"/>
  <c r="K129" i="5"/>
  <c r="J129" i="5"/>
  <c r="I129" i="5"/>
  <c r="H129" i="5"/>
  <c r="Y35" i="4"/>
  <c r="Y34" i="4"/>
  <c r="V40" i="4"/>
  <c r="V39" i="4"/>
  <c r="V38" i="4"/>
  <c r="V37" i="4"/>
  <c r="V36" i="4"/>
  <c r="V35" i="4"/>
  <c r="V34" i="4"/>
  <c r="O138" i="4"/>
  <c r="P138" i="4" s="1"/>
  <c r="M138" i="4"/>
  <c r="L138" i="4"/>
  <c r="K138" i="4"/>
  <c r="J138" i="4"/>
  <c r="I138" i="4"/>
  <c r="H138" i="4"/>
  <c r="O137" i="4"/>
  <c r="P137" i="4" s="1"/>
  <c r="M137" i="4"/>
  <c r="L137" i="4"/>
  <c r="K137" i="4"/>
  <c r="J137" i="4"/>
  <c r="I137" i="4"/>
  <c r="H137" i="4"/>
  <c r="O136" i="4"/>
  <c r="P136" i="4" s="1"/>
  <c r="M136" i="4"/>
  <c r="L136" i="4"/>
  <c r="K136" i="4"/>
  <c r="J136" i="4"/>
  <c r="I136" i="4"/>
  <c r="H136" i="4"/>
  <c r="O135" i="4"/>
  <c r="P135" i="4" s="1"/>
  <c r="M135" i="4"/>
  <c r="L135" i="4"/>
  <c r="K135" i="4"/>
  <c r="J135" i="4"/>
  <c r="I135" i="4"/>
  <c r="H135" i="4"/>
  <c r="O134" i="4"/>
  <c r="P134" i="4" s="1"/>
  <c r="M134" i="4"/>
  <c r="L134" i="4"/>
  <c r="K134" i="4"/>
  <c r="J134" i="4"/>
  <c r="I134" i="4"/>
  <c r="H134" i="4"/>
  <c r="O133" i="4"/>
  <c r="P133" i="4" s="1"/>
  <c r="M133" i="4"/>
  <c r="L133" i="4"/>
  <c r="K133" i="4"/>
  <c r="J133" i="4"/>
  <c r="I133" i="4"/>
  <c r="H133" i="4"/>
  <c r="O132" i="4"/>
  <c r="P132" i="4" s="1"/>
  <c r="M132" i="4"/>
  <c r="L132" i="4"/>
  <c r="K132" i="4"/>
  <c r="J132" i="4"/>
  <c r="I132" i="4"/>
  <c r="H132" i="4"/>
  <c r="O131" i="4"/>
  <c r="P131" i="4" s="1"/>
  <c r="M131" i="4"/>
  <c r="L131" i="4"/>
  <c r="K131" i="4"/>
  <c r="J131" i="4"/>
  <c r="I131" i="4"/>
  <c r="H131" i="4"/>
  <c r="O130" i="4"/>
  <c r="P130" i="4" s="1"/>
  <c r="M130" i="4"/>
  <c r="L130" i="4"/>
  <c r="K130" i="4"/>
  <c r="J130" i="4"/>
  <c r="I130" i="4"/>
  <c r="H130" i="4"/>
  <c r="O129" i="4"/>
  <c r="P129" i="4" s="1"/>
  <c r="M129" i="4"/>
  <c r="L129" i="4"/>
  <c r="K129" i="4"/>
  <c r="J129" i="4"/>
  <c r="I129" i="4"/>
  <c r="H129" i="4"/>
  <c r="V33" i="3"/>
  <c r="V32" i="3"/>
  <c r="S38" i="3"/>
  <c r="S37" i="3"/>
  <c r="S36" i="3"/>
  <c r="S35" i="3"/>
  <c r="S34" i="3"/>
  <c r="S33" i="3"/>
  <c r="S32" i="3"/>
  <c r="L138" i="3"/>
  <c r="M138" i="3" s="1"/>
  <c r="J138" i="3"/>
  <c r="I138" i="3"/>
  <c r="H138" i="3"/>
  <c r="L137" i="3"/>
  <c r="M137" i="3" s="1"/>
  <c r="J137" i="3"/>
  <c r="I137" i="3"/>
  <c r="H137" i="3"/>
  <c r="L136" i="3"/>
  <c r="M136" i="3" s="1"/>
  <c r="J136" i="3"/>
  <c r="I136" i="3"/>
  <c r="H136" i="3"/>
  <c r="L135" i="3"/>
  <c r="M135" i="3" s="1"/>
  <c r="J135" i="3"/>
  <c r="I135" i="3"/>
  <c r="H135" i="3"/>
  <c r="L134" i="3"/>
  <c r="M134" i="3" s="1"/>
  <c r="J134" i="3"/>
  <c r="I134" i="3"/>
  <c r="H134" i="3"/>
  <c r="M133" i="3"/>
  <c r="L133" i="3"/>
  <c r="J133" i="3"/>
  <c r="I133" i="3"/>
  <c r="H133" i="3"/>
  <c r="L132" i="3"/>
  <c r="M132" i="3" s="1"/>
  <c r="J132" i="3"/>
  <c r="I132" i="3"/>
  <c r="H132" i="3"/>
  <c r="L131" i="3"/>
  <c r="M131" i="3" s="1"/>
  <c r="J131" i="3"/>
  <c r="I131" i="3"/>
  <c r="H131" i="3"/>
  <c r="L130" i="3"/>
  <c r="M130" i="3" s="1"/>
  <c r="J130" i="3"/>
  <c r="I130" i="3"/>
  <c r="H130" i="3"/>
  <c r="L129" i="3"/>
  <c r="M129" i="3" s="1"/>
  <c r="J129" i="3"/>
  <c r="I129" i="3"/>
  <c r="H129" i="3"/>
  <c r="T45" i="10"/>
  <c r="T43" i="9"/>
  <c r="V46" i="8"/>
  <c r="R38" i="7"/>
  <c r="U42" i="6"/>
  <c r="W45" i="5"/>
  <c r="X47" i="4"/>
  <c r="U43" i="3"/>
  <c r="U38" i="3"/>
  <c r="X39" i="4"/>
  <c r="W38" i="5"/>
  <c r="U35" i="6"/>
  <c r="R33" i="7"/>
  <c r="V38" i="8"/>
  <c r="T36" i="9"/>
  <c r="T38" i="10"/>
  <c r="N139" i="5" l="1"/>
  <c r="O139" i="5" s="1"/>
  <c r="N140" i="5"/>
  <c r="P140" i="5" s="1"/>
  <c r="L139" i="5"/>
  <c r="L140" i="5"/>
  <c r="K139" i="5"/>
  <c r="K140" i="5"/>
  <c r="J139" i="5"/>
  <c r="J140" i="5"/>
  <c r="I139" i="5"/>
  <c r="I140" i="5"/>
  <c r="H139" i="5"/>
  <c r="H140" i="5"/>
  <c r="P139" i="5" l="1"/>
  <c r="O140" i="5"/>
  <c r="M128" i="10" l="1"/>
  <c r="K128" i="10"/>
  <c r="J128" i="10"/>
  <c r="I128" i="10"/>
  <c r="H128" i="10"/>
  <c r="M127" i="10"/>
  <c r="N127" i="10" s="1"/>
  <c r="K127" i="10"/>
  <c r="J127" i="10"/>
  <c r="I127" i="10"/>
  <c r="H127" i="10"/>
  <c r="M126" i="10"/>
  <c r="N126" i="10" s="1"/>
  <c r="K126" i="10"/>
  <c r="J126" i="10"/>
  <c r="I126" i="10"/>
  <c r="H126" i="10"/>
  <c r="M125" i="10"/>
  <c r="K125" i="10"/>
  <c r="J125" i="10"/>
  <c r="I125" i="10"/>
  <c r="H125" i="10"/>
  <c r="M124" i="10"/>
  <c r="K124" i="10"/>
  <c r="J124" i="10"/>
  <c r="I124" i="10"/>
  <c r="H124" i="10"/>
  <c r="M123" i="10"/>
  <c r="N123" i="10" s="1"/>
  <c r="K123" i="10"/>
  <c r="J123" i="10"/>
  <c r="I123" i="10"/>
  <c r="H123" i="10"/>
  <c r="M122" i="10"/>
  <c r="N122" i="10" s="1"/>
  <c r="K122" i="10"/>
  <c r="J122" i="10"/>
  <c r="I122" i="10"/>
  <c r="H122" i="10"/>
  <c r="M121" i="10"/>
  <c r="K121" i="10"/>
  <c r="J121" i="10"/>
  <c r="I121" i="10"/>
  <c r="H121" i="10"/>
  <c r="M120" i="10"/>
  <c r="K120" i="10"/>
  <c r="J120" i="10"/>
  <c r="I120" i="10"/>
  <c r="H120" i="10"/>
  <c r="M119" i="10"/>
  <c r="N119" i="10" s="1"/>
  <c r="K119" i="10"/>
  <c r="J119" i="10"/>
  <c r="I119" i="10"/>
  <c r="H119" i="10"/>
  <c r="M118" i="10"/>
  <c r="N118" i="10" s="1"/>
  <c r="K118" i="10"/>
  <c r="J118" i="10"/>
  <c r="I118" i="10"/>
  <c r="H118" i="10"/>
  <c r="M117" i="10"/>
  <c r="K117" i="10"/>
  <c r="J117" i="10"/>
  <c r="I117" i="10"/>
  <c r="H117" i="10"/>
  <c r="M116" i="10"/>
  <c r="K116" i="10"/>
  <c r="J116" i="10"/>
  <c r="I116" i="10"/>
  <c r="H116" i="10"/>
  <c r="M115" i="10"/>
  <c r="N115" i="10" s="1"/>
  <c r="K115" i="10"/>
  <c r="J115" i="10"/>
  <c r="I115" i="10"/>
  <c r="H115" i="10"/>
  <c r="M114" i="10"/>
  <c r="N114" i="10" s="1"/>
  <c r="K114" i="10"/>
  <c r="J114" i="10"/>
  <c r="I114" i="10"/>
  <c r="H114" i="10"/>
  <c r="M113" i="10"/>
  <c r="K113" i="10"/>
  <c r="J113" i="10"/>
  <c r="I113" i="10"/>
  <c r="H113" i="10"/>
  <c r="M112" i="10"/>
  <c r="K112" i="10"/>
  <c r="J112" i="10"/>
  <c r="I112" i="10"/>
  <c r="H112" i="10"/>
  <c r="M111" i="10"/>
  <c r="N111" i="10" s="1"/>
  <c r="K111" i="10"/>
  <c r="J111" i="10"/>
  <c r="I111" i="10"/>
  <c r="H111" i="10"/>
  <c r="M110" i="10"/>
  <c r="N110" i="10" s="1"/>
  <c r="K110" i="10"/>
  <c r="J110" i="10"/>
  <c r="I110" i="10"/>
  <c r="H110" i="10"/>
  <c r="M109" i="10"/>
  <c r="K109" i="10"/>
  <c r="J109" i="10"/>
  <c r="I109" i="10"/>
  <c r="H109" i="10"/>
  <c r="M108" i="10"/>
  <c r="K108" i="10"/>
  <c r="J108" i="10"/>
  <c r="I108" i="10"/>
  <c r="H108" i="10"/>
  <c r="M107" i="10"/>
  <c r="N107" i="10" s="1"/>
  <c r="K107" i="10"/>
  <c r="J107" i="10"/>
  <c r="I107" i="10"/>
  <c r="H107" i="10"/>
  <c r="M106" i="10"/>
  <c r="N106" i="10" s="1"/>
  <c r="K106" i="10"/>
  <c r="J106" i="10"/>
  <c r="I106" i="10"/>
  <c r="H106" i="10"/>
  <c r="M105" i="10"/>
  <c r="K105" i="10"/>
  <c r="J105" i="10"/>
  <c r="I105" i="10"/>
  <c r="H105" i="10"/>
  <c r="M104" i="10"/>
  <c r="K104" i="10"/>
  <c r="J104" i="10"/>
  <c r="I104" i="10"/>
  <c r="H104" i="10"/>
  <c r="M103" i="10"/>
  <c r="N103" i="10" s="1"/>
  <c r="K103" i="10"/>
  <c r="J103" i="10"/>
  <c r="I103" i="10"/>
  <c r="H103" i="10"/>
  <c r="M102" i="10"/>
  <c r="N102" i="10" s="1"/>
  <c r="K102" i="10"/>
  <c r="J102" i="10"/>
  <c r="I102" i="10"/>
  <c r="H102" i="10"/>
  <c r="M101" i="10"/>
  <c r="K101" i="10"/>
  <c r="J101" i="10"/>
  <c r="I101" i="10"/>
  <c r="H101" i="10"/>
  <c r="M100" i="10"/>
  <c r="K100" i="10"/>
  <c r="J100" i="10"/>
  <c r="I100" i="10"/>
  <c r="H100" i="10"/>
  <c r="M99" i="10"/>
  <c r="N99" i="10" s="1"/>
  <c r="K99" i="10"/>
  <c r="J99" i="10"/>
  <c r="I99" i="10"/>
  <c r="H99" i="10"/>
  <c r="M98" i="10"/>
  <c r="N98" i="10" s="1"/>
  <c r="K98" i="10"/>
  <c r="J98" i="10"/>
  <c r="I98" i="10"/>
  <c r="H98" i="10"/>
  <c r="M97" i="10"/>
  <c r="K97" i="10"/>
  <c r="J97" i="10"/>
  <c r="I97" i="10"/>
  <c r="H97" i="10"/>
  <c r="M96" i="10"/>
  <c r="K96" i="10"/>
  <c r="J96" i="10"/>
  <c r="I96" i="10"/>
  <c r="H96" i="10"/>
  <c r="M95" i="10"/>
  <c r="N95" i="10" s="1"/>
  <c r="K95" i="10"/>
  <c r="J95" i="10"/>
  <c r="I95" i="10"/>
  <c r="H95" i="10"/>
  <c r="M94" i="10"/>
  <c r="N94" i="10" s="1"/>
  <c r="K94" i="10"/>
  <c r="J94" i="10"/>
  <c r="I94" i="10"/>
  <c r="H94" i="10"/>
  <c r="M93" i="10"/>
  <c r="K93" i="10"/>
  <c r="J93" i="10"/>
  <c r="I93" i="10"/>
  <c r="H93" i="10"/>
  <c r="M92" i="10"/>
  <c r="K92" i="10"/>
  <c r="J92" i="10"/>
  <c r="I92" i="10"/>
  <c r="H92" i="10"/>
  <c r="M91" i="10"/>
  <c r="N91" i="10" s="1"/>
  <c r="K91" i="10"/>
  <c r="J91" i="10"/>
  <c r="I91" i="10"/>
  <c r="H91" i="10"/>
  <c r="M90" i="10"/>
  <c r="N90" i="10" s="1"/>
  <c r="K90" i="10"/>
  <c r="J90" i="10"/>
  <c r="I90" i="10"/>
  <c r="H90" i="10"/>
  <c r="M89" i="10"/>
  <c r="K89" i="10"/>
  <c r="J89" i="10"/>
  <c r="I89" i="10"/>
  <c r="H89" i="10"/>
  <c r="M88" i="10"/>
  <c r="K88" i="10"/>
  <c r="J88" i="10"/>
  <c r="I88" i="10"/>
  <c r="H88" i="10"/>
  <c r="M87" i="10"/>
  <c r="N87" i="10" s="1"/>
  <c r="K87" i="10"/>
  <c r="J87" i="10"/>
  <c r="I87" i="10"/>
  <c r="H87" i="10"/>
  <c r="M86" i="10"/>
  <c r="N86" i="10" s="1"/>
  <c r="K86" i="10"/>
  <c r="J86" i="10"/>
  <c r="I86" i="10"/>
  <c r="H86" i="10"/>
  <c r="M85" i="10"/>
  <c r="K85" i="10"/>
  <c r="J85" i="10"/>
  <c r="I85" i="10"/>
  <c r="H85" i="10"/>
  <c r="M84" i="10"/>
  <c r="K84" i="10"/>
  <c r="J84" i="10"/>
  <c r="I84" i="10"/>
  <c r="H84" i="10"/>
  <c r="M83" i="10"/>
  <c r="N83" i="10" s="1"/>
  <c r="K83" i="10"/>
  <c r="J83" i="10"/>
  <c r="I83" i="10"/>
  <c r="H83" i="10"/>
  <c r="M82" i="10"/>
  <c r="N82" i="10" s="1"/>
  <c r="K82" i="10"/>
  <c r="J82" i="10"/>
  <c r="I82" i="10"/>
  <c r="H82" i="10"/>
  <c r="M81" i="10"/>
  <c r="K81" i="10"/>
  <c r="J81" i="10"/>
  <c r="I81" i="10"/>
  <c r="H81" i="10"/>
  <c r="M80" i="10"/>
  <c r="K80" i="10"/>
  <c r="J80" i="10"/>
  <c r="I80" i="10"/>
  <c r="H80" i="10"/>
  <c r="M79" i="10"/>
  <c r="N79" i="10" s="1"/>
  <c r="K79" i="10"/>
  <c r="J79" i="10"/>
  <c r="I79" i="10"/>
  <c r="H79" i="10"/>
  <c r="M78" i="10"/>
  <c r="N78" i="10" s="1"/>
  <c r="K78" i="10"/>
  <c r="J78" i="10"/>
  <c r="I78" i="10"/>
  <c r="H78" i="10"/>
  <c r="M77" i="10"/>
  <c r="K77" i="10"/>
  <c r="J77" i="10"/>
  <c r="I77" i="10"/>
  <c r="H77" i="10"/>
  <c r="M76" i="10"/>
  <c r="K76" i="10"/>
  <c r="J76" i="10"/>
  <c r="I76" i="10"/>
  <c r="H76" i="10"/>
  <c r="M75" i="10"/>
  <c r="N75" i="10" s="1"/>
  <c r="K75" i="10"/>
  <c r="J75" i="10"/>
  <c r="I75" i="10"/>
  <c r="H75" i="10"/>
  <c r="M74" i="10"/>
  <c r="N74" i="10" s="1"/>
  <c r="K74" i="10"/>
  <c r="J74" i="10"/>
  <c r="I74" i="10"/>
  <c r="H74" i="10"/>
  <c r="M73" i="10"/>
  <c r="K73" i="10"/>
  <c r="J73" i="10"/>
  <c r="I73" i="10"/>
  <c r="H73" i="10"/>
  <c r="M72" i="10"/>
  <c r="K72" i="10"/>
  <c r="J72" i="10"/>
  <c r="I72" i="10"/>
  <c r="H72" i="10"/>
  <c r="M71" i="10"/>
  <c r="N71" i="10" s="1"/>
  <c r="K71" i="10"/>
  <c r="J71" i="10"/>
  <c r="I71" i="10"/>
  <c r="H71" i="10"/>
  <c r="M70" i="10"/>
  <c r="N70" i="10" s="1"/>
  <c r="K70" i="10"/>
  <c r="J70" i="10"/>
  <c r="I70" i="10"/>
  <c r="H70" i="10"/>
  <c r="M69" i="10"/>
  <c r="K69" i="10"/>
  <c r="J69" i="10"/>
  <c r="I69" i="10"/>
  <c r="H69" i="10"/>
  <c r="M68" i="10"/>
  <c r="K68" i="10"/>
  <c r="J68" i="10"/>
  <c r="I68" i="10"/>
  <c r="H68" i="10"/>
  <c r="M67" i="10"/>
  <c r="N67" i="10" s="1"/>
  <c r="K67" i="10"/>
  <c r="J67" i="10"/>
  <c r="I67" i="10"/>
  <c r="H67" i="10"/>
  <c r="M66" i="10"/>
  <c r="N66" i="10" s="1"/>
  <c r="K66" i="10"/>
  <c r="J66" i="10"/>
  <c r="I66" i="10"/>
  <c r="H66" i="10"/>
  <c r="M65" i="10"/>
  <c r="K65" i="10"/>
  <c r="J65" i="10"/>
  <c r="I65" i="10"/>
  <c r="H65" i="10"/>
  <c r="M64" i="10"/>
  <c r="K64" i="10"/>
  <c r="J64" i="10"/>
  <c r="I64" i="10"/>
  <c r="H64" i="10"/>
  <c r="M63" i="10"/>
  <c r="N63" i="10" s="1"/>
  <c r="K63" i="10"/>
  <c r="J63" i="10"/>
  <c r="I63" i="10"/>
  <c r="H63" i="10"/>
  <c r="M62" i="10"/>
  <c r="N62" i="10" s="1"/>
  <c r="K62" i="10"/>
  <c r="J62" i="10"/>
  <c r="I62" i="10"/>
  <c r="H62" i="10"/>
  <c r="M61" i="10"/>
  <c r="K61" i="10"/>
  <c r="J61" i="10"/>
  <c r="I61" i="10"/>
  <c r="H61" i="10"/>
  <c r="M60" i="10"/>
  <c r="K60" i="10"/>
  <c r="J60" i="10"/>
  <c r="I60" i="10"/>
  <c r="H60" i="10"/>
  <c r="M59" i="10"/>
  <c r="N59" i="10" s="1"/>
  <c r="K59" i="10"/>
  <c r="J59" i="10"/>
  <c r="I59" i="10"/>
  <c r="H59" i="10"/>
  <c r="M58" i="10"/>
  <c r="N58" i="10" s="1"/>
  <c r="K58" i="10"/>
  <c r="J58" i="10"/>
  <c r="I58" i="10"/>
  <c r="H58" i="10"/>
  <c r="M57" i="10"/>
  <c r="K57" i="10"/>
  <c r="J57" i="10"/>
  <c r="I57" i="10"/>
  <c r="H57" i="10"/>
  <c r="M56" i="10"/>
  <c r="K56" i="10"/>
  <c r="J56" i="10"/>
  <c r="I56" i="10"/>
  <c r="H56" i="10"/>
  <c r="M55" i="10"/>
  <c r="N55" i="10" s="1"/>
  <c r="K55" i="10"/>
  <c r="J55" i="10"/>
  <c r="I55" i="10"/>
  <c r="H55" i="10"/>
  <c r="M54" i="10"/>
  <c r="N54" i="10" s="1"/>
  <c r="K54" i="10"/>
  <c r="J54" i="10"/>
  <c r="I54" i="10"/>
  <c r="H54" i="10"/>
  <c r="M53" i="10"/>
  <c r="K53" i="10"/>
  <c r="J53" i="10"/>
  <c r="I53" i="10"/>
  <c r="H53" i="10"/>
  <c r="M52" i="10"/>
  <c r="K52" i="10"/>
  <c r="J52" i="10"/>
  <c r="I52" i="10"/>
  <c r="H52" i="10"/>
  <c r="M51" i="10"/>
  <c r="N51" i="10" s="1"/>
  <c r="K51" i="10"/>
  <c r="J51" i="10"/>
  <c r="I51" i="10"/>
  <c r="H51" i="10"/>
  <c r="M50" i="10"/>
  <c r="N50" i="10" s="1"/>
  <c r="K50" i="10"/>
  <c r="J50" i="10"/>
  <c r="I50" i="10"/>
  <c r="H50" i="10"/>
  <c r="M49" i="10"/>
  <c r="K49" i="10"/>
  <c r="J49" i="10"/>
  <c r="I49" i="10"/>
  <c r="H49" i="10"/>
  <c r="M48" i="10"/>
  <c r="K48" i="10"/>
  <c r="J48" i="10"/>
  <c r="I48" i="10"/>
  <c r="H48" i="10"/>
  <c r="M47" i="10"/>
  <c r="N47" i="10" s="1"/>
  <c r="K47" i="10"/>
  <c r="J47" i="10"/>
  <c r="I47" i="10"/>
  <c r="H47" i="10"/>
  <c r="M46" i="10"/>
  <c r="N46" i="10" s="1"/>
  <c r="K46" i="10"/>
  <c r="J46" i="10"/>
  <c r="I46" i="10"/>
  <c r="H46" i="10"/>
  <c r="M45" i="10"/>
  <c r="K45" i="10"/>
  <c r="J45" i="10"/>
  <c r="I45" i="10"/>
  <c r="H45" i="10"/>
  <c r="M44" i="10"/>
  <c r="K44" i="10"/>
  <c r="J44" i="10"/>
  <c r="I44" i="10"/>
  <c r="H44" i="10"/>
  <c r="M43" i="10"/>
  <c r="N43" i="10" s="1"/>
  <c r="K43" i="10"/>
  <c r="J43" i="10"/>
  <c r="I43" i="10"/>
  <c r="H43" i="10"/>
  <c r="M42" i="10"/>
  <c r="N42" i="10" s="1"/>
  <c r="K42" i="10"/>
  <c r="J42" i="10"/>
  <c r="I42" i="10"/>
  <c r="H42" i="10"/>
  <c r="M41" i="10"/>
  <c r="K41" i="10"/>
  <c r="J41" i="10"/>
  <c r="I41" i="10"/>
  <c r="H41" i="10"/>
  <c r="M40" i="10"/>
  <c r="K40" i="10"/>
  <c r="J40" i="10"/>
  <c r="I40" i="10"/>
  <c r="H40" i="10"/>
  <c r="M39" i="10"/>
  <c r="N39" i="10" s="1"/>
  <c r="K39" i="10"/>
  <c r="J39" i="10"/>
  <c r="I39" i="10"/>
  <c r="H39" i="10"/>
  <c r="M38" i="10"/>
  <c r="N38" i="10" s="1"/>
  <c r="K38" i="10"/>
  <c r="J38" i="10"/>
  <c r="I38" i="10"/>
  <c r="H38" i="10"/>
  <c r="M37" i="10"/>
  <c r="K37" i="10"/>
  <c r="J37" i="10"/>
  <c r="I37" i="10"/>
  <c r="H37" i="10"/>
  <c r="M36" i="10"/>
  <c r="K36" i="10"/>
  <c r="J36" i="10"/>
  <c r="I36" i="10"/>
  <c r="H36" i="10"/>
  <c r="M35" i="10"/>
  <c r="K35" i="10"/>
  <c r="J35" i="10"/>
  <c r="I35" i="10"/>
  <c r="H35" i="10"/>
  <c r="M34" i="10"/>
  <c r="K34" i="10"/>
  <c r="J34" i="10"/>
  <c r="I34" i="10"/>
  <c r="H34" i="10"/>
  <c r="M33" i="10"/>
  <c r="K33" i="10"/>
  <c r="J33" i="10"/>
  <c r="I33" i="10"/>
  <c r="H33" i="10"/>
  <c r="M32" i="10"/>
  <c r="K32" i="10"/>
  <c r="J32" i="10"/>
  <c r="I32" i="10"/>
  <c r="H32" i="10"/>
  <c r="M31" i="10"/>
  <c r="K31" i="10"/>
  <c r="J31" i="10"/>
  <c r="I31" i="10"/>
  <c r="H31" i="10"/>
  <c r="M30" i="10"/>
  <c r="K30" i="10"/>
  <c r="J30" i="10"/>
  <c r="I30" i="10"/>
  <c r="H30" i="10"/>
  <c r="M29" i="10"/>
  <c r="N29" i="10" s="1"/>
  <c r="K29" i="10"/>
  <c r="J29" i="10"/>
  <c r="I29" i="10"/>
  <c r="H29" i="10"/>
  <c r="M28" i="10"/>
  <c r="N28" i="10" s="1"/>
  <c r="K28" i="10"/>
  <c r="J28" i="10"/>
  <c r="I28" i="10"/>
  <c r="H28" i="10"/>
  <c r="M27" i="10"/>
  <c r="N27" i="10" s="1"/>
  <c r="K27" i="10"/>
  <c r="J27" i="10"/>
  <c r="I27" i="10"/>
  <c r="H27" i="10"/>
  <c r="M26" i="10"/>
  <c r="N26" i="10" s="1"/>
  <c r="K26" i="10"/>
  <c r="J26" i="10"/>
  <c r="I26" i="10"/>
  <c r="H26" i="10"/>
  <c r="M25" i="10"/>
  <c r="K25" i="10"/>
  <c r="J25" i="10"/>
  <c r="I25" i="10"/>
  <c r="H25" i="10"/>
  <c r="M24" i="10"/>
  <c r="N24" i="10" s="1"/>
  <c r="K24" i="10"/>
  <c r="J24" i="10"/>
  <c r="I24" i="10"/>
  <c r="H24" i="10"/>
  <c r="M23" i="10"/>
  <c r="N23" i="10" s="1"/>
  <c r="K23" i="10"/>
  <c r="J23" i="10"/>
  <c r="I23" i="10"/>
  <c r="H23" i="10"/>
  <c r="M22" i="10"/>
  <c r="N22" i="10" s="1"/>
  <c r="K22" i="10"/>
  <c r="J22" i="10"/>
  <c r="I22" i="10"/>
  <c r="H22" i="10"/>
  <c r="M21" i="10"/>
  <c r="K21" i="10"/>
  <c r="J21" i="10"/>
  <c r="I21" i="10"/>
  <c r="H21" i="10"/>
  <c r="M20" i="10"/>
  <c r="N20" i="10" s="1"/>
  <c r="K20" i="10"/>
  <c r="J20" i="10"/>
  <c r="I20" i="10"/>
  <c r="H20" i="10"/>
  <c r="M19" i="10"/>
  <c r="N19" i="10" s="1"/>
  <c r="K19" i="10"/>
  <c r="J19" i="10"/>
  <c r="I19" i="10"/>
  <c r="H19" i="10"/>
  <c r="M18" i="10"/>
  <c r="N18" i="10" s="1"/>
  <c r="K18" i="10"/>
  <c r="J18" i="10"/>
  <c r="I18" i="10"/>
  <c r="H18" i="10"/>
  <c r="M17" i="10"/>
  <c r="K17" i="10"/>
  <c r="J17" i="10"/>
  <c r="I17" i="10"/>
  <c r="H17" i="10"/>
  <c r="M16" i="10"/>
  <c r="N16" i="10" s="1"/>
  <c r="K16" i="10"/>
  <c r="J16" i="10"/>
  <c r="I16" i="10"/>
  <c r="H16" i="10"/>
  <c r="M15" i="10"/>
  <c r="N15" i="10" s="1"/>
  <c r="K15" i="10"/>
  <c r="J15" i="10"/>
  <c r="I15" i="10"/>
  <c r="H15" i="10"/>
  <c r="M14" i="10"/>
  <c r="N14" i="10" s="1"/>
  <c r="K14" i="10"/>
  <c r="J14" i="10"/>
  <c r="I14" i="10"/>
  <c r="H14" i="10"/>
  <c r="M13" i="10"/>
  <c r="K13" i="10"/>
  <c r="J13" i="10"/>
  <c r="I13" i="10"/>
  <c r="H13" i="10"/>
  <c r="M12" i="10"/>
  <c r="N12" i="10" s="1"/>
  <c r="K12" i="10"/>
  <c r="J12" i="10"/>
  <c r="I12" i="10"/>
  <c r="H12" i="10"/>
  <c r="M11" i="10"/>
  <c r="N11" i="10" s="1"/>
  <c r="K11" i="10"/>
  <c r="J11" i="10"/>
  <c r="I11" i="10"/>
  <c r="H11" i="10"/>
  <c r="M10" i="10"/>
  <c r="K10" i="10"/>
  <c r="J10" i="10"/>
  <c r="I10" i="10"/>
  <c r="H10" i="10"/>
  <c r="M9" i="10"/>
  <c r="K9" i="10"/>
  <c r="J9" i="10"/>
  <c r="I9" i="10"/>
  <c r="H9" i="10"/>
  <c r="M8" i="10"/>
  <c r="N8" i="10" s="1"/>
  <c r="K8" i="10"/>
  <c r="J8" i="10"/>
  <c r="I8" i="10"/>
  <c r="H8" i="10"/>
  <c r="M7" i="10"/>
  <c r="N7" i="10" s="1"/>
  <c r="K7" i="10"/>
  <c r="J7" i="10"/>
  <c r="I7" i="10"/>
  <c r="H7" i="10"/>
  <c r="M6" i="10"/>
  <c r="K6" i="10"/>
  <c r="J6" i="10"/>
  <c r="I6" i="10"/>
  <c r="H6" i="10"/>
  <c r="M5" i="10"/>
  <c r="K5" i="10"/>
  <c r="J5" i="10"/>
  <c r="I5" i="10"/>
  <c r="H5" i="10"/>
  <c r="M4" i="10"/>
  <c r="K4" i="10"/>
  <c r="J4" i="10"/>
  <c r="I4" i="10"/>
  <c r="H4" i="10"/>
  <c r="M128" i="9"/>
  <c r="N128" i="9" s="1"/>
  <c r="K128" i="9"/>
  <c r="J128" i="9"/>
  <c r="I128" i="9"/>
  <c r="H128" i="9"/>
  <c r="M127" i="9"/>
  <c r="K127" i="9"/>
  <c r="J127" i="9"/>
  <c r="I127" i="9"/>
  <c r="H127" i="9"/>
  <c r="M126" i="9"/>
  <c r="K126" i="9"/>
  <c r="J126" i="9"/>
  <c r="I126" i="9"/>
  <c r="H126" i="9"/>
  <c r="M125" i="9"/>
  <c r="N125" i="9" s="1"/>
  <c r="K125" i="9"/>
  <c r="J125" i="9"/>
  <c r="I125" i="9"/>
  <c r="H125" i="9"/>
  <c r="M124" i="9"/>
  <c r="N124" i="9" s="1"/>
  <c r="K124" i="9"/>
  <c r="J124" i="9"/>
  <c r="I124" i="9"/>
  <c r="H124" i="9"/>
  <c r="M123" i="9"/>
  <c r="N123" i="9" s="1"/>
  <c r="K123" i="9"/>
  <c r="J123" i="9"/>
  <c r="I123" i="9"/>
  <c r="H123" i="9"/>
  <c r="M122" i="9"/>
  <c r="K122" i="9"/>
  <c r="J122" i="9"/>
  <c r="I122" i="9"/>
  <c r="H122" i="9"/>
  <c r="M121" i="9"/>
  <c r="N121" i="9" s="1"/>
  <c r="K121" i="9"/>
  <c r="J121" i="9"/>
  <c r="I121" i="9"/>
  <c r="H121" i="9"/>
  <c r="M120" i="9"/>
  <c r="N120" i="9" s="1"/>
  <c r="K120" i="9"/>
  <c r="J120" i="9"/>
  <c r="I120" i="9"/>
  <c r="H120" i="9"/>
  <c r="M119" i="9"/>
  <c r="N119" i="9" s="1"/>
  <c r="K119" i="9"/>
  <c r="J119" i="9"/>
  <c r="I119" i="9"/>
  <c r="H119" i="9"/>
  <c r="M118" i="9"/>
  <c r="K118" i="9"/>
  <c r="J118" i="9"/>
  <c r="I118" i="9"/>
  <c r="H118" i="9"/>
  <c r="M117" i="9"/>
  <c r="N117" i="9" s="1"/>
  <c r="K117" i="9"/>
  <c r="J117" i="9"/>
  <c r="I117" i="9"/>
  <c r="H117" i="9"/>
  <c r="M116" i="9"/>
  <c r="N116" i="9" s="1"/>
  <c r="K116" i="9"/>
  <c r="J116" i="9"/>
  <c r="I116" i="9"/>
  <c r="H116" i="9"/>
  <c r="M115" i="9"/>
  <c r="N115" i="9" s="1"/>
  <c r="K115" i="9"/>
  <c r="J115" i="9"/>
  <c r="I115" i="9"/>
  <c r="H115" i="9"/>
  <c r="M114" i="9"/>
  <c r="K114" i="9"/>
  <c r="J114" i="9"/>
  <c r="I114" i="9"/>
  <c r="H114" i="9"/>
  <c r="M113" i="9"/>
  <c r="N113" i="9" s="1"/>
  <c r="K113" i="9"/>
  <c r="J113" i="9"/>
  <c r="I113" i="9"/>
  <c r="H113" i="9"/>
  <c r="M112" i="9"/>
  <c r="N112" i="9" s="1"/>
  <c r="K112" i="9"/>
  <c r="J112" i="9"/>
  <c r="I112" i="9"/>
  <c r="H112" i="9"/>
  <c r="M111" i="9"/>
  <c r="N111" i="9" s="1"/>
  <c r="K111" i="9"/>
  <c r="J111" i="9"/>
  <c r="I111" i="9"/>
  <c r="H111" i="9"/>
  <c r="M110" i="9"/>
  <c r="K110" i="9"/>
  <c r="J110" i="9"/>
  <c r="I110" i="9"/>
  <c r="H110" i="9"/>
  <c r="M109" i="9"/>
  <c r="N109" i="9" s="1"/>
  <c r="K109" i="9"/>
  <c r="J109" i="9"/>
  <c r="I109" i="9"/>
  <c r="H109" i="9"/>
  <c r="M108" i="9"/>
  <c r="N108" i="9" s="1"/>
  <c r="K108" i="9"/>
  <c r="J108" i="9"/>
  <c r="I108" i="9"/>
  <c r="H108" i="9"/>
  <c r="M107" i="9"/>
  <c r="N107" i="9" s="1"/>
  <c r="K107" i="9"/>
  <c r="J107" i="9"/>
  <c r="I107" i="9"/>
  <c r="H107" i="9"/>
  <c r="M106" i="9"/>
  <c r="K106" i="9"/>
  <c r="J106" i="9"/>
  <c r="I106" i="9"/>
  <c r="H106" i="9"/>
  <c r="M105" i="9"/>
  <c r="N105" i="9" s="1"/>
  <c r="K105" i="9"/>
  <c r="J105" i="9"/>
  <c r="I105" i="9"/>
  <c r="H105" i="9"/>
  <c r="M104" i="9"/>
  <c r="N104" i="9" s="1"/>
  <c r="K104" i="9"/>
  <c r="J104" i="9"/>
  <c r="I104" i="9"/>
  <c r="H104" i="9"/>
  <c r="M103" i="9"/>
  <c r="N103" i="9" s="1"/>
  <c r="K103" i="9"/>
  <c r="J103" i="9"/>
  <c r="I103" i="9"/>
  <c r="H103" i="9"/>
  <c r="M102" i="9"/>
  <c r="K102" i="9"/>
  <c r="J102" i="9"/>
  <c r="I102" i="9"/>
  <c r="H102" i="9"/>
  <c r="M101" i="9"/>
  <c r="N101" i="9" s="1"/>
  <c r="K101" i="9"/>
  <c r="J101" i="9"/>
  <c r="I101" i="9"/>
  <c r="H101" i="9"/>
  <c r="M100" i="9"/>
  <c r="N100" i="9" s="1"/>
  <c r="K100" i="9"/>
  <c r="J100" i="9"/>
  <c r="I100" i="9"/>
  <c r="H100" i="9"/>
  <c r="M99" i="9"/>
  <c r="N99" i="9" s="1"/>
  <c r="K99" i="9"/>
  <c r="J99" i="9"/>
  <c r="I99" i="9"/>
  <c r="H99" i="9"/>
  <c r="M98" i="9"/>
  <c r="K98" i="9"/>
  <c r="J98" i="9"/>
  <c r="I98" i="9"/>
  <c r="H98" i="9"/>
  <c r="M97" i="9"/>
  <c r="N97" i="9" s="1"/>
  <c r="K97" i="9"/>
  <c r="J97" i="9"/>
  <c r="I97" i="9"/>
  <c r="H97" i="9"/>
  <c r="M96" i="9"/>
  <c r="N96" i="9" s="1"/>
  <c r="K96" i="9"/>
  <c r="J96" i="9"/>
  <c r="I96" i="9"/>
  <c r="H96" i="9"/>
  <c r="M95" i="9"/>
  <c r="K95" i="9"/>
  <c r="J95" i="9"/>
  <c r="I95" i="9"/>
  <c r="H95" i="9"/>
  <c r="M94" i="9"/>
  <c r="K94" i="9"/>
  <c r="J94" i="9"/>
  <c r="I94" i="9"/>
  <c r="H94" i="9"/>
  <c r="M93" i="9"/>
  <c r="N93" i="9" s="1"/>
  <c r="K93" i="9"/>
  <c r="J93" i="9"/>
  <c r="I93" i="9"/>
  <c r="H93" i="9"/>
  <c r="M92" i="9"/>
  <c r="N92" i="9" s="1"/>
  <c r="K92" i="9"/>
  <c r="J92" i="9"/>
  <c r="I92" i="9"/>
  <c r="H92" i="9"/>
  <c r="M91" i="9"/>
  <c r="N91" i="9" s="1"/>
  <c r="K91" i="9"/>
  <c r="J91" i="9"/>
  <c r="I91" i="9"/>
  <c r="H91" i="9"/>
  <c r="M90" i="9"/>
  <c r="K90" i="9"/>
  <c r="J90" i="9"/>
  <c r="I90" i="9"/>
  <c r="H90" i="9"/>
  <c r="M89" i="9"/>
  <c r="N89" i="9" s="1"/>
  <c r="K89" i="9"/>
  <c r="J89" i="9"/>
  <c r="I89" i="9"/>
  <c r="H89" i="9"/>
  <c r="M88" i="9"/>
  <c r="N88" i="9" s="1"/>
  <c r="K88" i="9"/>
  <c r="J88" i="9"/>
  <c r="I88" i="9"/>
  <c r="H88" i="9"/>
  <c r="M87" i="9"/>
  <c r="N87" i="9" s="1"/>
  <c r="K87" i="9"/>
  <c r="J87" i="9"/>
  <c r="I87" i="9"/>
  <c r="H87" i="9"/>
  <c r="M86" i="9"/>
  <c r="K86" i="9"/>
  <c r="J86" i="9"/>
  <c r="I86" i="9"/>
  <c r="H86" i="9"/>
  <c r="M85" i="9"/>
  <c r="N85" i="9" s="1"/>
  <c r="K85" i="9"/>
  <c r="J85" i="9"/>
  <c r="I85" i="9"/>
  <c r="H85" i="9"/>
  <c r="M84" i="9"/>
  <c r="N84" i="9" s="1"/>
  <c r="K84" i="9"/>
  <c r="J84" i="9"/>
  <c r="I84" i="9"/>
  <c r="H84" i="9"/>
  <c r="M83" i="9"/>
  <c r="N83" i="9" s="1"/>
  <c r="K83" i="9"/>
  <c r="J83" i="9"/>
  <c r="I83" i="9"/>
  <c r="H83" i="9"/>
  <c r="M82" i="9"/>
  <c r="K82" i="9"/>
  <c r="J82" i="9"/>
  <c r="I82" i="9"/>
  <c r="H82" i="9"/>
  <c r="M81" i="9"/>
  <c r="N81" i="9" s="1"/>
  <c r="K81" i="9"/>
  <c r="J81" i="9"/>
  <c r="I81" i="9"/>
  <c r="H81" i="9"/>
  <c r="M80" i="9"/>
  <c r="N80" i="9" s="1"/>
  <c r="K80" i="9"/>
  <c r="J80" i="9"/>
  <c r="I80" i="9"/>
  <c r="H80" i="9"/>
  <c r="M79" i="9"/>
  <c r="N79" i="9" s="1"/>
  <c r="K79" i="9"/>
  <c r="J79" i="9"/>
  <c r="I79" i="9"/>
  <c r="H79" i="9"/>
  <c r="M78" i="9"/>
  <c r="K78" i="9"/>
  <c r="J78" i="9"/>
  <c r="I78" i="9"/>
  <c r="H78" i="9"/>
  <c r="M77" i="9"/>
  <c r="N77" i="9" s="1"/>
  <c r="K77" i="9"/>
  <c r="J77" i="9"/>
  <c r="I77" i="9"/>
  <c r="H77" i="9"/>
  <c r="M76" i="9"/>
  <c r="N76" i="9" s="1"/>
  <c r="K76" i="9"/>
  <c r="J76" i="9"/>
  <c r="I76" i="9"/>
  <c r="H76" i="9"/>
  <c r="M75" i="9"/>
  <c r="N75" i="9" s="1"/>
  <c r="K75" i="9"/>
  <c r="J75" i="9"/>
  <c r="I75" i="9"/>
  <c r="H75" i="9"/>
  <c r="M74" i="9"/>
  <c r="K74" i="9"/>
  <c r="J74" i="9"/>
  <c r="I74" i="9"/>
  <c r="H74" i="9"/>
  <c r="M73" i="9"/>
  <c r="N73" i="9" s="1"/>
  <c r="K73" i="9"/>
  <c r="J73" i="9"/>
  <c r="I73" i="9"/>
  <c r="H73" i="9"/>
  <c r="M72" i="9"/>
  <c r="N72" i="9" s="1"/>
  <c r="K72" i="9"/>
  <c r="J72" i="9"/>
  <c r="I72" i="9"/>
  <c r="H72" i="9"/>
  <c r="M71" i="9"/>
  <c r="N71" i="9" s="1"/>
  <c r="K71" i="9"/>
  <c r="J71" i="9"/>
  <c r="I71" i="9"/>
  <c r="H71" i="9"/>
  <c r="M70" i="9"/>
  <c r="K70" i="9"/>
  <c r="J70" i="9"/>
  <c r="I70" i="9"/>
  <c r="H70" i="9"/>
  <c r="M69" i="9"/>
  <c r="N69" i="9" s="1"/>
  <c r="K69" i="9"/>
  <c r="J69" i="9"/>
  <c r="I69" i="9"/>
  <c r="H69" i="9"/>
  <c r="M68" i="9"/>
  <c r="N68" i="9" s="1"/>
  <c r="K68" i="9"/>
  <c r="J68" i="9"/>
  <c r="I68" i="9"/>
  <c r="H68" i="9"/>
  <c r="M67" i="9"/>
  <c r="N67" i="9" s="1"/>
  <c r="K67" i="9"/>
  <c r="J67" i="9"/>
  <c r="I67" i="9"/>
  <c r="H67" i="9"/>
  <c r="M66" i="9"/>
  <c r="K66" i="9"/>
  <c r="J66" i="9"/>
  <c r="I66" i="9"/>
  <c r="H66" i="9"/>
  <c r="M65" i="9"/>
  <c r="N65" i="9" s="1"/>
  <c r="K65" i="9"/>
  <c r="J65" i="9"/>
  <c r="I65" i="9"/>
  <c r="H65" i="9"/>
  <c r="M64" i="9"/>
  <c r="N64" i="9" s="1"/>
  <c r="K64" i="9"/>
  <c r="J64" i="9"/>
  <c r="I64" i="9"/>
  <c r="H64" i="9"/>
  <c r="M63" i="9"/>
  <c r="N63" i="9" s="1"/>
  <c r="K63" i="9"/>
  <c r="J63" i="9"/>
  <c r="I63" i="9"/>
  <c r="H63" i="9"/>
  <c r="M62" i="9"/>
  <c r="K62" i="9"/>
  <c r="J62" i="9"/>
  <c r="I62" i="9"/>
  <c r="H62" i="9"/>
  <c r="M61" i="9"/>
  <c r="N61" i="9" s="1"/>
  <c r="K61" i="9"/>
  <c r="J61" i="9"/>
  <c r="I61" i="9"/>
  <c r="H61" i="9"/>
  <c r="M60" i="9"/>
  <c r="N60" i="9" s="1"/>
  <c r="K60" i="9"/>
  <c r="J60" i="9"/>
  <c r="I60" i="9"/>
  <c r="H60" i="9"/>
  <c r="M59" i="9"/>
  <c r="N59" i="9" s="1"/>
  <c r="K59" i="9"/>
  <c r="J59" i="9"/>
  <c r="I59" i="9"/>
  <c r="H59" i="9"/>
  <c r="M58" i="9"/>
  <c r="K58" i="9"/>
  <c r="J58" i="9"/>
  <c r="I58" i="9"/>
  <c r="H58" i="9"/>
  <c r="M57" i="9"/>
  <c r="N57" i="9" s="1"/>
  <c r="K57" i="9"/>
  <c r="J57" i="9"/>
  <c r="I57" i="9"/>
  <c r="H57" i="9"/>
  <c r="M56" i="9"/>
  <c r="N56" i="9" s="1"/>
  <c r="K56" i="9"/>
  <c r="J56" i="9"/>
  <c r="I56" i="9"/>
  <c r="H56" i="9"/>
  <c r="M55" i="9"/>
  <c r="N55" i="9" s="1"/>
  <c r="K55" i="9"/>
  <c r="J55" i="9"/>
  <c r="I55" i="9"/>
  <c r="H55" i="9"/>
  <c r="M54" i="9"/>
  <c r="K54" i="9"/>
  <c r="J54" i="9"/>
  <c r="I54" i="9"/>
  <c r="H54" i="9"/>
  <c r="M53" i="9"/>
  <c r="N53" i="9" s="1"/>
  <c r="K53" i="9"/>
  <c r="J53" i="9"/>
  <c r="I53" i="9"/>
  <c r="H53" i="9"/>
  <c r="M52" i="9"/>
  <c r="N52" i="9" s="1"/>
  <c r="K52" i="9"/>
  <c r="J52" i="9"/>
  <c r="I52" i="9"/>
  <c r="H52" i="9"/>
  <c r="M51" i="9"/>
  <c r="N51" i="9" s="1"/>
  <c r="K51" i="9"/>
  <c r="J51" i="9"/>
  <c r="I51" i="9"/>
  <c r="H51" i="9"/>
  <c r="M50" i="9"/>
  <c r="K50" i="9"/>
  <c r="J50" i="9"/>
  <c r="I50" i="9"/>
  <c r="H50" i="9"/>
  <c r="M49" i="9"/>
  <c r="N49" i="9" s="1"/>
  <c r="K49" i="9"/>
  <c r="J49" i="9"/>
  <c r="I49" i="9"/>
  <c r="H49" i="9"/>
  <c r="M48" i="9"/>
  <c r="N48" i="9" s="1"/>
  <c r="K48" i="9"/>
  <c r="J48" i="9"/>
  <c r="I48" i="9"/>
  <c r="H48" i="9"/>
  <c r="M47" i="9"/>
  <c r="N47" i="9" s="1"/>
  <c r="K47" i="9"/>
  <c r="J47" i="9"/>
  <c r="I47" i="9"/>
  <c r="H47" i="9"/>
  <c r="M46" i="9"/>
  <c r="K46" i="9"/>
  <c r="J46" i="9"/>
  <c r="I46" i="9"/>
  <c r="H46" i="9"/>
  <c r="M45" i="9"/>
  <c r="N45" i="9" s="1"/>
  <c r="K45" i="9"/>
  <c r="J45" i="9"/>
  <c r="I45" i="9"/>
  <c r="H45" i="9"/>
  <c r="M44" i="9"/>
  <c r="N44" i="9" s="1"/>
  <c r="K44" i="9"/>
  <c r="J44" i="9"/>
  <c r="I44" i="9"/>
  <c r="H44" i="9"/>
  <c r="M43" i="9"/>
  <c r="K43" i="9"/>
  <c r="J43" i="9"/>
  <c r="I43" i="9"/>
  <c r="H43" i="9"/>
  <c r="M42" i="9"/>
  <c r="K42" i="9"/>
  <c r="J42" i="9"/>
  <c r="I42" i="9"/>
  <c r="H42" i="9"/>
  <c r="M41" i="9"/>
  <c r="N41" i="9" s="1"/>
  <c r="K41" i="9"/>
  <c r="J41" i="9"/>
  <c r="I41" i="9"/>
  <c r="H41" i="9"/>
  <c r="M40" i="9"/>
  <c r="N40" i="9" s="1"/>
  <c r="K40" i="9"/>
  <c r="J40" i="9"/>
  <c r="I40" i="9"/>
  <c r="H40" i="9"/>
  <c r="M39" i="9"/>
  <c r="K39" i="9"/>
  <c r="J39" i="9"/>
  <c r="I39" i="9"/>
  <c r="H39" i="9"/>
  <c r="M38" i="9"/>
  <c r="K38" i="9"/>
  <c r="J38" i="9"/>
  <c r="I38" i="9"/>
  <c r="H38" i="9"/>
  <c r="M37" i="9"/>
  <c r="N37" i="9" s="1"/>
  <c r="K37" i="9"/>
  <c r="J37" i="9"/>
  <c r="I37" i="9"/>
  <c r="H37" i="9"/>
  <c r="M36" i="9"/>
  <c r="N36" i="9" s="1"/>
  <c r="K36" i="9"/>
  <c r="J36" i="9"/>
  <c r="I36" i="9"/>
  <c r="H36" i="9"/>
  <c r="M35" i="9"/>
  <c r="N35" i="9" s="1"/>
  <c r="K35" i="9"/>
  <c r="J35" i="9"/>
  <c r="I35" i="9"/>
  <c r="H35" i="9"/>
  <c r="M34" i="9"/>
  <c r="N34" i="9" s="1"/>
  <c r="K34" i="9"/>
  <c r="J34" i="9"/>
  <c r="I34" i="9"/>
  <c r="H34" i="9"/>
  <c r="M33" i="9"/>
  <c r="N33" i="9" s="1"/>
  <c r="K33" i="9"/>
  <c r="J33" i="9"/>
  <c r="I33" i="9"/>
  <c r="H33" i="9"/>
  <c r="M32" i="9"/>
  <c r="N32" i="9" s="1"/>
  <c r="K32" i="9"/>
  <c r="J32" i="9"/>
  <c r="I32" i="9"/>
  <c r="H32" i="9"/>
  <c r="M31" i="9"/>
  <c r="N31" i="9" s="1"/>
  <c r="K31" i="9"/>
  <c r="J31" i="9"/>
  <c r="I31" i="9"/>
  <c r="H31" i="9"/>
  <c r="M30" i="9"/>
  <c r="N30" i="9" s="1"/>
  <c r="K30" i="9"/>
  <c r="J30" i="9"/>
  <c r="I30" i="9"/>
  <c r="H30" i="9"/>
  <c r="M29" i="9"/>
  <c r="N29" i="9" s="1"/>
  <c r="K29" i="9"/>
  <c r="J29" i="9"/>
  <c r="I29" i="9"/>
  <c r="H29" i="9"/>
  <c r="M28" i="9"/>
  <c r="N28" i="9" s="1"/>
  <c r="K28" i="9"/>
  <c r="J28" i="9"/>
  <c r="I28" i="9"/>
  <c r="H28" i="9"/>
  <c r="M27" i="9"/>
  <c r="N27" i="9" s="1"/>
  <c r="K27" i="9"/>
  <c r="J27" i="9"/>
  <c r="I27" i="9"/>
  <c r="H27" i="9"/>
  <c r="M26" i="9"/>
  <c r="K26" i="9"/>
  <c r="J26" i="9"/>
  <c r="I26" i="9"/>
  <c r="H26" i="9"/>
  <c r="M25" i="9"/>
  <c r="N25" i="9" s="1"/>
  <c r="K25" i="9"/>
  <c r="J25" i="9"/>
  <c r="I25" i="9"/>
  <c r="H25" i="9"/>
  <c r="M24" i="9"/>
  <c r="N24" i="9" s="1"/>
  <c r="K24" i="9"/>
  <c r="J24" i="9"/>
  <c r="I24" i="9"/>
  <c r="H24" i="9"/>
  <c r="M23" i="9"/>
  <c r="N23" i="9" s="1"/>
  <c r="K23" i="9"/>
  <c r="J23" i="9"/>
  <c r="I23" i="9"/>
  <c r="H23" i="9"/>
  <c r="M22" i="9"/>
  <c r="K22" i="9"/>
  <c r="J22" i="9"/>
  <c r="I22" i="9"/>
  <c r="H22" i="9"/>
  <c r="M21" i="9"/>
  <c r="N21" i="9" s="1"/>
  <c r="K21" i="9"/>
  <c r="J21" i="9"/>
  <c r="I21" i="9"/>
  <c r="H21" i="9"/>
  <c r="M20" i="9"/>
  <c r="N20" i="9" s="1"/>
  <c r="K20" i="9"/>
  <c r="J20" i="9"/>
  <c r="I20" i="9"/>
  <c r="H20" i="9"/>
  <c r="M19" i="9"/>
  <c r="N19" i="9" s="1"/>
  <c r="K19" i="9"/>
  <c r="J19" i="9"/>
  <c r="I19" i="9"/>
  <c r="H19" i="9"/>
  <c r="M18" i="9"/>
  <c r="K18" i="9"/>
  <c r="J18" i="9"/>
  <c r="I18" i="9"/>
  <c r="H18" i="9"/>
  <c r="M17" i="9"/>
  <c r="N17" i="9" s="1"/>
  <c r="K17" i="9"/>
  <c r="J17" i="9"/>
  <c r="I17" i="9"/>
  <c r="H17" i="9"/>
  <c r="M16" i="9"/>
  <c r="N16" i="9" s="1"/>
  <c r="K16" i="9"/>
  <c r="J16" i="9"/>
  <c r="I16" i="9"/>
  <c r="H16" i="9"/>
  <c r="M15" i="9"/>
  <c r="N15" i="9" s="1"/>
  <c r="K15" i="9"/>
  <c r="J15" i="9"/>
  <c r="I15" i="9"/>
  <c r="H15" i="9"/>
  <c r="M14" i="9"/>
  <c r="K14" i="9"/>
  <c r="J14" i="9"/>
  <c r="I14" i="9"/>
  <c r="H14" i="9"/>
  <c r="M13" i="9"/>
  <c r="N13" i="9" s="1"/>
  <c r="K13" i="9"/>
  <c r="J13" i="9"/>
  <c r="I13" i="9"/>
  <c r="H13" i="9"/>
  <c r="M12" i="9"/>
  <c r="N12" i="9" s="1"/>
  <c r="K12" i="9"/>
  <c r="J12" i="9"/>
  <c r="I12" i="9"/>
  <c r="H12" i="9"/>
  <c r="M11" i="9"/>
  <c r="N11" i="9" s="1"/>
  <c r="K11" i="9"/>
  <c r="J11" i="9"/>
  <c r="I11" i="9"/>
  <c r="H11" i="9"/>
  <c r="M10" i="9"/>
  <c r="K10" i="9"/>
  <c r="J10" i="9"/>
  <c r="I10" i="9"/>
  <c r="H10" i="9"/>
  <c r="M9" i="9"/>
  <c r="N9" i="9" s="1"/>
  <c r="K9" i="9"/>
  <c r="J9" i="9"/>
  <c r="I9" i="9"/>
  <c r="H9" i="9"/>
  <c r="M8" i="9"/>
  <c r="N8" i="9" s="1"/>
  <c r="K8" i="9"/>
  <c r="J8" i="9"/>
  <c r="I8" i="9"/>
  <c r="H8" i="9"/>
  <c r="M7" i="9"/>
  <c r="N7" i="9" s="1"/>
  <c r="K7" i="9"/>
  <c r="J7" i="9"/>
  <c r="I7" i="9"/>
  <c r="H7" i="9"/>
  <c r="M6" i="9"/>
  <c r="K6" i="9"/>
  <c r="J6" i="9"/>
  <c r="I6" i="9"/>
  <c r="H6" i="9"/>
  <c r="M5" i="9"/>
  <c r="N5" i="9" s="1"/>
  <c r="K5" i="9"/>
  <c r="J5" i="9"/>
  <c r="I5" i="9"/>
  <c r="H5" i="9"/>
  <c r="M4" i="9"/>
  <c r="K4" i="9"/>
  <c r="J4" i="9"/>
  <c r="I4" i="9"/>
  <c r="H4" i="9"/>
  <c r="O128" i="8"/>
  <c r="P128" i="8" s="1"/>
  <c r="M128" i="8"/>
  <c r="L128" i="8"/>
  <c r="K128" i="8"/>
  <c r="J128" i="8"/>
  <c r="I128" i="8"/>
  <c r="H128" i="8"/>
  <c r="O127" i="8"/>
  <c r="P127" i="8" s="1"/>
  <c r="M127" i="8"/>
  <c r="L127" i="8"/>
  <c r="K127" i="8"/>
  <c r="J127" i="8"/>
  <c r="I127" i="8"/>
  <c r="H127" i="8"/>
  <c r="O126" i="8"/>
  <c r="M126" i="8"/>
  <c r="L126" i="8"/>
  <c r="K126" i="8"/>
  <c r="J126" i="8"/>
  <c r="I126" i="8"/>
  <c r="H126" i="8"/>
  <c r="O125" i="8"/>
  <c r="M125" i="8"/>
  <c r="L125" i="8"/>
  <c r="K125" i="8"/>
  <c r="J125" i="8"/>
  <c r="I125" i="8"/>
  <c r="H125" i="8"/>
  <c r="O124" i="8"/>
  <c r="P124" i="8" s="1"/>
  <c r="M124" i="8"/>
  <c r="L124" i="8"/>
  <c r="K124" i="8"/>
  <c r="J124" i="8"/>
  <c r="I124" i="8"/>
  <c r="H124" i="8"/>
  <c r="O123" i="8"/>
  <c r="P123" i="8" s="1"/>
  <c r="M123" i="8"/>
  <c r="L123" i="8"/>
  <c r="K123" i="8"/>
  <c r="J123" i="8"/>
  <c r="I123" i="8"/>
  <c r="H123" i="8"/>
  <c r="O122" i="8"/>
  <c r="M122" i="8"/>
  <c r="L122" i="8"/>
  <c r="K122" i="8"/>
  <c r="J122" i="8"/>
  <c r="I122" i="8"/>
  <c r="H122" i="8"/>
  <c r="O121" i="8"/>
  <c r="M121" i="8"/>
  <c r="L121" i="8"/>
  <c r="K121" i="8"/>
  <c r="J121" i="8"/>
  <c r="I121" i="8"/>
  <c r="H121" i="8"/>
  <c r="O120" i="8"/>
  <c r="P120" i="8" s="1"/>
  <c r="M120" i="8"/>
  <c r="L120" i="8"/>
  <c r="K120" i="8"/>
  <c r="J120" i="8"/>
  <c r="I120" i="8"/>
  <c r="H120" i="8"/>
  <c r="O119" i="8"/>
  <c r="P119" i="8" s="1"/>
  <c r="M119" i="8"/>
  <c r="L119" i="8"/>
  <c r="K119" i="8"/>
  <c r="J119" i="8"/>
  <c r="I119" i="8"/>
  <c r="H119" i="8"/>
  <c r="O118" i="8"/>
  <c r="M118" i="8"/>
  <c r="L118" i="8"/>
  <c r="K118" i="8"/>
  <c r="J118" i="8"/>
  <c r="I118" i="8"/>
  <c r="H118" i="8"/>
  <c r="O117" i="8"/>
  <c r="M117" i="8"/>
  <c r="L117" i="8"/>
  <c r="K117" i="8"/>
  <c r="J117" i="8"/>
  <c r="I117" i="8"/>
  <c r="H117" i="8"/>
  <c r="O116" i="8"/>
  <c r="P116" i="8" s="1"/>
  <c r="M116" i="8"/>
  <c r="L116" i="8"/>
  <c r="K116" i="8"/>
  <c r="J116" i="8"/>
  <c r="I116" i="8"/>
  <c r="H116" i="8"/>
  <c r="O115" i="8"/>
  <c r="P115" i="8" s="1"/>
  <c r="M115" i="8"/>
  <c r="L115" i="8"/>
  <c r="K115" i="8"/>
  <c r="J115" i="8"/>
  <c r="I115" i="8"/>
  <c r="H115" i="8"/>
  <c r="O114" i="8"/>
  <c r="M114" i="8"/>
  <c r="L114" i="8"/>
  <c r="K114" i="8"/>
  <c r="J114" i="8"/>
  <c r="I114" i="8"/>
  <c r="H114" i="8"/>
  <c r="O113" i="8"/>
  <c r="M113" i="8"/>
  <c r="L113" i="8"/>
  <c r="K113" i="8"/>
  <c r="J113" i="8"/>
  <c r="I113" i="8"/>
  <c r="H113" i="8"/>
  <c r="O112" i="8"/>
  <c r="P112" i="8" s="1"/>
  <c r="M112" i="8"/>
  <c r="L112" i="8"/>
  <c r="K112" i="8"/>
  <c r="J112" i="8"/>
  <c r="I112" i="8"/>
  <c r="H112" i="8"/>
  <c r="O111" i="8"/>
  <c r="P111" i="8" s="1"/>
  <c r="M111" i="8"/>
  <c r="L111" i="8"/>
  <c r="K111" i="8"/>
  <c r="J111" i="8"/>
  <c r="I111" i="8"/>
  <c r="H111" i="8"/>
  <c r="O110" i="8"/>
  <c r="M110" i="8"/>
  <c r="L110" i="8"/>
  <c r="K110" i="8"/>
  <c r="J110" i="8"/>
  <c r="I110" i="8"/>
  <c r="H110" i="8"/>
  <c r="O109" i="8"/>
  <c r="M109" i="8"/>
  <c r="L109" i="8"/>
  <c r="K109" i="8"/>
  <c r="J109" i="8"/>
  <c r="I109" i="8"/>
  <c r="H109" i="8"/>
  <c r="O108" i="8"/>
  <c r="P108" i="8" s="1"/>
  <c r="M108" i="8"/>
  <c r="L108" i="8"/>
  <c r="K108" i="8"/>
  <c r="J108" i="8"/>
  <c r="I108" i="8"/>
  <c r="H108" i="8"/>
  <c r="O107" i="8"/>
  <c r="P107" i="8" s="1"/>
  <c r="M107" i="8"/>
  <c r="L107" i="8"/>
  <c r="K107" i="8"/>
  <c r="J107" i="8"/>
  <c r="I107" i="8"/>
  <c r="H107" i="8"/>
  <c r="O106" i="8"/>
  <c r="M106" i="8"/>
  <c r="L106" i="8"/>
  <c r="K106" i="8"/>
  <c r="J106" i="8"/>
  <c r="I106" i="8"/>
  <c r="H106" i="8"/>
  <c r="O105" i="8"/>
  <c r="M105" i="8"/>
  <c r="L105" i="8"/>
  <c r="K105" i="8"/>
  <c r="J105" i="8"/>
  <c r="I105" i="8"/>
  <c r="H105" i="8"/>
  <c r="O104" i="8"/>
  <c r="P104" i="8" s="1"/>
  <c r="M104" i="8"/>
  <c r="L104" i="8"/>
  <c r="K104" i="8"/>
  <c r="J104" i="8"/>
  <c r="I104" i="8"/>
  <c r="H104" i="8"/>
  <c r="O103" i="8"/>
  <c r="P103" i="8" s="1"/>
  <c r="M103" i="8"/>
  <c r="L103" i="8"/>
  <c r="K103" i="8"/>
  <c r="J103" i="8"/>
  <c r="I103" i="8"/>
  <c r="H103" i="8"/>
  <c r="O102" i="8"/>
  <c r="M102" i="8"/>
  <c r="L102" i="8"/>
  <c r="K102" i="8"/>
  <c r="J102" i="8"/>
  <c r="I102" i="8"/>
  <c r="H102" i="8"/>
  <c r="O101" i="8"/>
  <c r="M101" i="8"/>
  <c r="L101" i="8"/>
  <c r="K101" i="8"/>
  <c r="J101" i="8"/>
  <c r="I101" i="8"/>
  <c r="H101" i="8"/>
  <c r="O100" i="8"/>
  <c r="P100" i="8" s="1"/>
  <c r="M100" i="8"/>
  <c r="L100" i="8"/>
  <c r="K100" i="8"/>
  <c r="J100" i="8"/>
  <c r="I100" i="8"/>
  <c r="H100" i="8"/>
  <c r="O99" i="8"/>
  <c r="P99" i="8" s="1"/>
  <c r="M99" i="8"/>
  <c r="L99" i="8"/>
  <c r="K99" i="8"/>
  <c r="J99" i="8"/>
  <c r="I99" i="8"/>
  <c r="H99" i="8"/>
  <c r="O98" i="8"/>
  <c r="M98" i="8"/>
  <c r="L98" i="8"/>
  <c r="K98" i="8"/>
  <c r="J98" i="8"/>
  <c r="I98" i="8"/>
  <c r="H98" i="8"/>
  <c r="O97" i="8"/>
  <c r="M97" i="8"/>
  <c r="L97" i="8"/>
  <c r="K97" i="8"/>
  <c r="J97" i="8"/>
  <c r="I97" i="8"/>
  <c r="H97" i="8"/>
  <c r="O96" i="8"/>
  <c r="P96" i="8" s="1"/>
  <c r="M96" i="8"/>
  <c r="L96" i="8"/>
  <c r="K96" i="8"/>
  <c r="J96" i="8"/>
  <c r="I96" i="8"/>
  <c r="H96" i="8"/>
  <c r="O95" i="8"/>
  <c r="P95" i="8" s="1"/>
  <c r="M95" i="8"/>
  <c r="L95" i="8"/>
  <c r="K95" i="8"/>
  <c r="J95" i="8"/>
  <c r="I95" i="8"/>
  <c r="H95" i="8"/>
  <c r="O94" i="8"/>
  <c r="M94" i="8"/>
  <c r="L94" i="8"/>
  <c r="K94" i="8"/>
  <c r="J94" i="8"/>
  <c r="I94" i="8"/>
  <c r="H94" i="8"/>
  <c r="O93" i="8"/>
  <c r="M93" i="8"/>
  <c r="L93" i="8"/>
  <c r="K93" i="8"/>
  <c r="J93" i="8"/>
  <c r="I93" i="8"/>
  <c r="H93" i="8"/>
  <c r="O92" i="8"/>
  <c r="P92" i="8" s="1"/>
  <c r="M92" i="8"/>
  <c r="L92" i="8"/>
  <c r="K92" i="8"/>
  <c r="J92" i="8"/>
  <c r="I92" i="8"/>
  <c r="H92" i="8"/>
  <c r="O91" i="8"/>
  <c r="P91" i="8" s="1"/>
  <c r="M91" i="8"/>
  <c r="L91" i="8"/>
  <c r="K91" i="8"/>
  <c r="J91" i="8"/>
  <c r="I91" i="8"/>
  <c r="H91" i="8"/>
  <c r="O90" i="8"/>
  <c r="M90" i="8"/>
  <c r="L90" i="8"/>
  <c r="K90" i="8"/>
  <c r="J90" i="8"/>
  <c r="I90" i="8"/>
  <c r="H90" i="8"/>
  <c r="O89" i="8"/>
  <c r="M89" i="8"/>
  <c r="L89" i="8"/>
  <c r="K89" i="8"/>
  <c r="J89" i="8"/>
  <c r="I89" i="8"/>
  <c r="H89" i="8"/>
  <c r="O88" i="8"/>
  <c r="P88" i="8" s="1"/>
  <c r="M88" i="8"/>
  <c r="L88" i="8"/>
  <c r="K88" i="8"/>
  <c r="J88" i="8"/>
  <c r="I88" i="8"/>
  <c r="H88" i="8"/>
  <c r="O87" i="8"/>
  <c r="P87" i="8" s="1"/>
  <c r="M87" i="8"/>
  <c r="L87" i="8"/>
  <c r="K87" i="8"/>
  <c r="J87" i="8"/>
  <c r="I87" i="8"/>
  <c r="H87" i="8"/>
  <c r="O86" i="8"/>
  <c r="M86" i="8"/>
  <c r="L86" i="8"/>
  <c r="K86" i="8"/>
  <c r="J86" i="8"/>
  <c r="I86" i="8"/>
  <c r="H86" i="8"/>
  <c r="O85" i="8"/>
  <c r="M85" i="8"/>
  <c r="L85" i="8"/>
  <c r="K85" i="8"/>
  <c r="J85" i="8"/>
  <c r="I85" i="8"/>
  <c r="H85" i="8"/>
  <c r="O84" i="8"/>
  <c r="P84" i="8" s="1"/>
  <c r="M84" i="8"/>
  <c r="L84" i="8"/>
  <c r="K84" i="8"/>
  <c r="J84" i="8"/>
  <c r="I84" i="8"/>
  <c r="H84" i="8"/>
  <c r="O83" i="8"/>
  <c r="P83" i="8" s="1"/>
  <c r="M83" i="8"/>
  <c r="L83" i="8"/>
  <c r="K83" i="8"/>
  <c r="J83" i="8"/>
  <c r="I83" i="8"/>
  <c r="H83" i="8"/>
  <c r="O82" i="8"/>
  <c r="M82" i="8"/>
  <c r="L82" i="8"/>
  <c r="K82" i="8"/>
  <c r="J82" i="8"/>
  <c r="I82" i="8"/>
  <c r="H82" i="8"/>
  <c r="O81" i="8"/>
  <c r="M81" i="8"/>
  <c r="L81" i="8"/>
  <c r="K81" i="8"/>
  <c r="J81" i="8"/>
  <c r="I81" i="8"/>
  <c r="H81" i="8"/>
  <c r="O80" i="8"/>
  <c r="P80" i="8" s="1"/>
  <c r="M80" i="8"/>
  <c r="L80" i="8"/>
  <c r="K80" i="8"/>
  <c r="J80" i="8"/>
  <c r="I80" i="8"/>
  <c r="H80" i="8"/>
  <c r="O79" i="8"/>
  <c r="P79" i="8" s="1"/>
  <c r="M79" i="8"/>
  <c r="L79" i="8"/>
  <c r="K79" i="8"/>
  <c r="J79" i="8"/>
  <c r="I79" i="8"/>
  <c r="H79" i="8"/>
  <c r="O78" i="8"/>
  <c r="M78" i="8"/>
  <c r="L78" i="8"/>
  <c r="K78" i="8"/>
  <c r="J78" i="8"/>
  <c r="I78" i="8"/>
  <c r="H78" i="8"/>
  <c r="O77" i="8"/>
  <c r="M77" i="8"/>
  <c r="L77" i="8"/>
  <c r="K77" i="8"/>
  <c r="J77" i="8"/>
  <c r="I77" i="8"/>
  <c r="H77" i="8"/>
  <c r="O76" i="8"/>
  <c r="P76" i="8" s="1"/>
  <c r="M76" i="8"/>
  <c r="L76" i="8"/>
  <c r="K76" i="8"/>
  <c r="J76" i="8"/>
  <c r="I76" i="8"/>
  <c r="H76" i="8"/>
  <c r="O75" i="8"/>
  <c r="P75" i="8" s="1"/>
  <c r="M75" i="8"/>
  <c r="L75" i="8"/>
  <c r="K75" i="8"/>
  <c r="J75" i="8"/>
  <c r="I75" i="8"/>
  <c r="H75" i="8"/>
  <c r="O74" i="8"/>
  <c r="M74" i="8"/>
  <c r="L74" i="8"/>
  <c r="K74" i="8"/>
  <c r="J74" i="8"/>
  <c r="I74" i="8"/>
  <c r="H74" i="8"/>
  <c r="O73" i="8"/>
  <c r="M73" i="8"/>
  <c r="L73" i="8"/>
  <c r="K73" i="8"/>
  <c r="J73" i="8"/>
  <c r="I73" i="8"/>
  <c r="H73" i="8"/>
  <c r="O72" i="8"/>
  <c r="P72" i="8" s="1"/>
  <c r="M72" i="8"/>
  <c r="L72" i="8"/>
  <c r="K72" i="8"/>
  <c r="J72" i="8"/>
  <c r="I72" i="8"/>
  <c r="H72" i="8"/>
  <c r="O71" i="8"/>
  <c r="P71" i="8" s="1"/>
  <c r="M71" i="8"/>
  <c r="L71" i="8"/>
  <c r="K71" i="8"/>
  <c r="J71" i="8"/>
  <c r="I71" i="8"/>
  <c r="H71" i="8"/>
  <c r="O70" i="8"/>
  <c r="M70" i="8"/>
  <c r="L70" i="8"/>
  <c r="K70" i="8"/>
  <c r="J70" i="8"/>
  <c r="I70" i="8"/>
  <c r="H70" i="8"/>
  <c r="O69" i="8"/>
  <c r="M69" i="8"/>
  <c r="L69" i="8"/>
  <c r="K69" i="8"/>
  <c r="J69" i="8"/>
  <c r="I69" i="8"/>
  <c r="H69" i="8"/>
  <c r="O68" i="8"/>
  <c r="P68" i="8" s="1"/>
  <c r="M68" i="8"/>
  <c r="L68" i="8"/>
  <c r="K68" i="8"/>
  <c r="J68" i="8"/>
  <c r="I68" i="8"/>
  <c r="H68" i="8"/>
  <c r="O67" i="8"/>
  <c r="P67" i="8" s="1"/>
  <c r="M67" i="8"/>
  <c r="L67" i="8"/>
  <c r="K67" i="8"/>
  <c r="J67" i="8"/>
  <c r="I67" i="8"/>
  <c r="H67" i="8"/>
  <c r="O66" i="8"/>
  <c r="M66" i="8"/>
  <c r="L66" i="8"/>
  <c r="K66" i="8"/>
  <c r="J66" i="8"/>
  <c r="I66" i="8"/>
  <c r="H66" i="8"/>
  <c r="O65" i="8"/>
  <c r="M65" i="8"/>
  <c r="L65" i="8"/>
  <c r="K65" i="8"/>
  <c r="J65" i="8"/>
  <c r="I65" i="8"/>
  <c r="H65" i="8"/>
  <c r="O64" i="8"/>
  <c r="P64" i="8" s="1"/>
  <c r="M64" i="8"/>
  <c r="L64" i="8"/>
  <c r="K64" i="8"/>
  <c r="J64" i="8"/>
  <c r="I64" i="8"/>
  <c r="H64" i="8"/>
  <c r="O63" i="8"/>
  <c r="P63" i="8" s="1"/>
  <c r="M63" i="8"/>
  <c r="L63" i="8"/>
  <c r="K63" i="8"/>
  <c r="J63" i="8"/>
  <c r="I63" i="8"/>
  <c r="H63" i="8"/>
  <c r="O62" i="8"/>
  <c r="M62" i="8"/>
  <c r="L62" i="8"/>
  <c r="K62" i="8"/>
  <c r="J62" i="8"/>
  <c r="I62" i="8"/>
  <c r="H62" i="8"/>
  <c r="O61" i="8"/>
  <c r="M61" i="8"/>
  <c r="L61" i="8"/>
  <c r="K61" i="8"/>
  <c r="J61" i="8"/>
  <c r="I61" i="8"/>
  <c r="H61" i="8"/>
  <c r="O60" i="8"/>
  <c r="P60" i="8" s="1"/>
  <c r="M60" i="8"/>
  <c r="L60" i="8"/>
  <c r="K60" i="8"/>
  <c r="J60" i="8"/>
  <c r="I60" i="8"/>
  <c r="H60" i="8"/>
  <c r="O59" i="8"/>
  <c r="P59" i="8" s="1"/>
  <c r="M59" i="8"/>
  <c r="L59" i="8"/>
  <c r="K59" i="8"/>
  <c r="J59" i="8"/>
  <c r="I59" i="8"/>
  <c r="H59" i="8"/>
  <c r="O58" i="8"/>
  <c r="M58" i="8"/>
  <c r="L58" i="8"/>
  <c r="K58" i="8"/>
  <c r="J58" i="8"/>
  <c r="I58" i="8"/>
  <c r="H58" i="8"/>
  <c r="O57" i="8"/>
  <c r="M57" i="8"/>
  <c r="L57" i="8"/>
  <c r="K57" i="8"/>
  <c r="J57" i="8"/>
  <c r="I57" i="8"/>
  <c r="H57" i="8"/>
  <c r="O56" i="8"/>
  <c r="P56" i="8" s="1"/>
  <c r="M56" i="8"/>
  <c r="L56" i="8"/>
  <c r="K56" i="8"/>
  <c r="J56" i="8"/>
  <c r="I56" i="8"/>
  <c r="H56" i="8"/>
  <c r="O55" i="8"/>
  <c r="P55" i="8" s="1"/>
  <c r="M55" i="8"/>
  <c r="L55" i="8"/>
  <c r="K55" i="8"/>
  <c r="J55" i="8"/>
  <c r="I55" i="8"/>
  <c r="H55" i="8"/>
  <c r="O54" i="8"/>
  <c r="M54" i="8"/>
  <c r="L54" i="8"/>
  <c r="K54" i="8"/>
  <c r="J54" i="8"/>
  <c r="I54" i="8"/>
  <c r="H54" i="8"/>
  <c r="O53" i="8"/>
  <c r="M53" i="8"/>
  <c r="L53" i="8"/>
  <c r="K53" i="8"/>
  <c r="J53" i="8"/>
  <c r="I53" i="8"/>
  <c r="H53" i="8"/>
  <c r="O52" i="8"/>
  <c r="P52" i="8" s="1"/>
  <c r="M52" i="8"/>
  <c r="L52" i="8"/>
  <c r="K52" i="8"/>
  <c r="J52" i="8"/>
  <c r="I52" i="8"/>
  <c r="H52" i="8"/>
  <c r="O51" i="8"/>
  <c r="P51" i="8" s="1"/>
  <c r="M51" i="8"/>
  <c r="L51" i="8"/>
  <c r="K51" i="8"/>
  <c r="J51" i="8"/>
  <c r="I51" i="8"/>
  <c r="H51" i="8"/>
  <c r="O50" i="8"/>
  <c r="M50" i="8"/>
  <c r="L50" i="8"/>
  <c r="K50" i="8"/>
  <c r="J50" i="8"/>
  <c r="I50" i="8"/>
  <c r="H50" i="8"/>
  <c r="O49" i="8"/>
  <c r="M49" i="8"/>
  <c r="L49" i="8"/>
  <c r="K49" i="8"/>
  <c r="J49" i="8"/>
  <c r="I49" i="8"/>
  <c r="H49" i="8"/>
  <c r="O48" i="8"/>
  <c r="P48" i="8" s="1"/>
  <c r="M48" i="8"/>
  <c r="L48" i="8"/>
  <c r="K48" i="8"/>
  <c r="J48" i="8"/>
  <c r="I48" i="8"/>
  <c r="H48" i="8"/>
  <c r="O47" i="8"/>
  <c r="P47" i="8" s="1"/>
  <c r="M47" i="8"/>
  <c r="L47" i="8"/>
  <c r="K47" i="8"/>
  <c r="J47" i="8"/>
  <c r="I47" i="8"/>
  <c r="H47" i="8"/>
  <c r="O46" i="8"/>
  <c r="M46" i="8"/>
  <c r="L46" i="8"/>
  <c r="K46" i="8"/>
  <c r="J46" i="8"/>
  <c r="I46" i="8"/>
  <c r="H46" i="8"/>
  <c r="O45" i="8"/>
  <c r="M45" i="8"/>
  <c r="L45" i="8"/>
  <c r="K45" i="8"/>
  <c r="J45" i="8"/>
  <c r="I45" i="8"/>
  <c r="H45" i="8"/>
  <c r="O44" i="8"/>
  <c r="P44" i="8" s="1"/>
  <c r="M44" i="8"/>
  <c r="L44" i="8"/>
  <c r="K44" i="8"/>
  <c r="J44" i="8"/>
  <c r="I44" i="8"/>
  <c r="H44" i="8"/>
  <c r="O43" i="8"/>
  <c r="P43" i="8" s="1"/>
  <c r="M43" i="8"/>
  <c r="L43" i="8"/>
  <c r="K43" i="8"/>
  <c r="J43" i="8"/>
  <c r="I43" i="8"/>
  <c r="H43" i="8"/>
  <c r="O42" i="8"/>
  <c r="M42" i="8"/>
  <c r="L42" i="8"/>
  <c r="K42" i="8"/>
  <c r="J42" i="8"/>
  <c r="I42" i="8"/>
  <c r="H42" i="8"/>
  <c r="O41" i="8"/>
  <c r="M41" i="8"/>
  <c r="L41" i="8"/>
  <c r="K41" i="8"/>
  <c r="J41" i="8"/>
  <c r="I41" i="8"/>
  <c r="H41" i="8"/>
  <c r="O40" i="8"/>
  <c r="P40" i="8" s="1"/>
  <c r="M40" i="8"/>
  <c r="L40" i="8"/>
  <c r="K40" i="8"/>
  <c r="J40" i="8"/>
  <c r="I40" i="8"/>
  <c r="H40" i="8"/>
  <c r="O39" i="8"/>
  <c r="P39" i="8" s="1"/>
  <c r="M39" i="8"/>
  <c r="L39" i="8"/>
  <c r="K39" i="8"/>
  <c r="J39" i="8"/>
  <c r="I39" i="8"/>
  <c r="H39" i="8"/>
  <c r="O38" i="8"/>
  <c r="M38" i="8"/>
  <c r="L38" i="8"/>
  <c r="K38" i="8"/>
  <c r="J38" i="8"/>
  <c r="I38" i="8"/>
  <c r="H38" i="8"/>
  <c r="O37" i="8"/>
  <c r="P37" i="8" s="1"/>
  <c r="M37" i="8"/>
  <c r="L37" i="8"/>
  <c r="K37" i="8"/>
  <c r="J37" i="8"/>
  <c r="I37" i="8"/>
  <c r="H37" i="8"/>
  <c r="O36" i="8"/>
  <c r="M36" i="8"/>
  <c r="L36" i="8"/>
  <c r="K36" i="8"/>
  <c r="J36" i="8"/>
  <c r="I36" i="8"/>
  <c r="H36" i="8"/>
  <c r="O35" i="8"/>
  <c r="P35" i="8" s="1"/>
  <c r="M35" i="8"/>
  <c r="L35" i="8"/>
  <c r="K35" i="8"/>
  <c r="J35" i="8"/>
  <c r="I35" i="8"/>
  <c r="H35" i="8"/>
  <c r="O34" i="8"/>
  <c r="M34" i="8"/>
  <c r="L34" i="8"/>
  <c r="K34" i="8"/>
  <c r="J34" i="8"/>
  <c r="I34" i="8"/>
  <c r="H34" i="8"/>
  <c r="O33" i="8"/>
  <c r="P33" i="8" s="1"/>
  <c r="M33" i="8"/>
  <c r="L33" i="8"/>
  <c r="K33" i="8"/>
  <c r="J33" i="8"/>
  <c r="I33" i="8"/>
  <c r="H33" i="8"/>
  <c r="O32" i="8"/>
  <c r="M32" i="8"/>
  <c r="L32" i="8"/>
  <c r="K32" i="8"/>
  <c r="J32" i="8"/>
  <c r="I32" i="8"/>
  <c r="H32" i="8"/>
  <c r="O31" i="8"/>
  <c r="P31" i="8" s="1"/>
  <c r="M31" i="8"/>
  <c r="L31" i="8"/>
  <c r="K31" i="8"/>
  <c r="J31" i="8"/>
  <c r="I31" i="8"/>
  <c r="H31" i="8"/>
  <c r="O30" i="8"/>
  <c r="M30" i="8"/>
  <c r="L30" i="8"/>
  <c r="K30" i="8"/>
  <c r="J30" i="8"/>
  <c r="I30" i="8"/>
  <c r="H30" i="8"/>
  <c r="O29" i="8"/>
  <c r="M29" i="8"/>
  <c r="L29" i="8"/>
  <c r="K29" i="8"/>
  <c r="J29" i="8"/>
  <c r="I29" i="8"/>
  <c r="H29" i="8"/>
  <c r="O28" i="8"/>
  <c r="P28" i="8" s="1"/>
  <c r="M28" i="8"/>
  <c r="L28" i="8"/>
  <c r="K28" i="8"/>
  <c r="J28" i="8"/>
  <c r="I28" i="8"/>
  <c r="H28" i="8"/>
  <c r="O27" i="8"/>
  <c r="P27" i="8" s="1"/>
  <c r="M27" i="8"/>
  <c r="L27" i="8"/>
  <c r="K27" i="8"/>
  <c r="J27" i="8"/>
  <c r="I27" i="8"/>
  <c r="H27" i="8"/>
  <c r="O26" i="8"/>
  <c r="M26" i="8"/>
  <c r="L26" i="8"/>
  <c r="K26" i="8"/>
  <c r="J26" i="8"/>
  <c r="I26" i="8"/>
  <c r="H26" i="8"/>
  <c r="O25" i="8"/>
  <c r="M25" i="8"/>
  <c r="L25" i="8"/>
  <c r="K25" i="8"/>
  <c r="J25" i="8"/>
  <c r="I25" i="8"/>
  <c r="H25" i="8"/>
  <c r="O24" i="8"/>
  <c r="P24" i="8" s="1"/>
  <c r="M24" i="8"/>
  <c r="L24" i="8"/>
  <c r="K24" i="8"/>
  <c r="J24" i="8"/>
  <c r="I24" i="8"/>
  <c r="H24" i="8"/>
  <c r="O23" i="8"/>
  <c r="P23" i="8" s="1"/>
  <c r="M23" i="8"/>
  <c r="L23" i="8"/>
  <c r="K23" i="8"/>
  <c r="J23" i="8"/>
  <c r="I23" i="8"/>
  <c r="H23" i="8"/>
  <c r="O22" i="8"/>
  <c r="M22" i="8"/>
  <c r="L22" i="8"/>
  <c r="K22" i="8"/>
  <c r="J22" i="8"/>
  <c r="I22" i="8"/>
  <c r="H22" i="8"/>
  <c r="O21" i="8"/>
  <c r="M21" i="8"/>
  <c r="L21" i="8"/>
  <c r="K21" i="8"/>
  <c r="J21" i="8"/>
  <c r="I21" i="8"/>
  <c r="H21" i="8"/>
  <c r="O20" i="8"/>
  <c r="P20" i="8" s="1"/>
  <c r="M20" i="8"/>
  <c r="L20" i="8"/>
  <c r="K20" i="8"/>
  <c r="J20" i="8"/>
  <c r="I20" i="8"/>
  <c r="H20" i="8"/>
  <c r="O19" i="8"/>
  <c r="P19" i="8" s="1"/>
  <c r="M19" i="8"/>
  <c r="L19" i="8"/>
  <c r="K19" i="8"/>
  <c r="J19" i="8"/>
  <c r="I19" i="8"/>
  <c r="H19" i="8"/>
  <c r="O18" i="8"/>
  <c r="M18" i="8"/>
  <c r="L18" i="8"/>
  <c r="K18" i="8"/>
  <c r="J18" i="8"/>
  <c r="I18" i="8"/>
  <c r="H18" i="8"/>
  <c r="O17" i="8"/>
  <c r="M17" i="8"/>
  <c r="L17" i="8"/>
  <c r="K17" i="8"/>
  <c r="J17" i="8"/>
  <c r="I17" i="8"/>
  <c r="H17" i="8"/>
  <c r="O16" i="8"/>
  <c r="P16" i="8" s="1"/>
  <c r="M16" i="8"/>
  <c r="L16" i="8"/>
  <c r="K16" i="8"/>
  <c r="J16" i="8"/>
  <c r="I16" i="8"/>
  <c r="H16" i="8"/>
  <c r="O15" i="8"/>
  <c r="P15" i="8" s="1"/>
  <c r="M15" i="8"/>
  <c r="L15" i="8"/>
  <c r="K15" i="8"/>
  <c r="J15" i="8"/>
  <c r="I15" i="8"/>
  <c r="H15" i="8"/>
  <c r="O14" i="8"/>
  <c r="M14" i="8"/>
  <c r="L14" i="8"/>
  <c r="K14" i="8"/>
  <c r="J14" i="8"/>
  <c r="I14" i="8"/>
  <c r="H14" i="8"/>
  <c r="O13" i="8"/>
  <c r="M13" i="8"/>
  <c r="L13" i="8"/>
  <c r="K13" i="8"/>
  <c r="J13" i="8"/>
  <c r="I13" i="8"/>
  <c r="H13" i="8"/>
  <c r="O12" i="8"/>
  <c r="P12" i="8" s="1"/>
  <c r="M12" i="8"/>
  <c r="L12" i="8"/>
  <c r="K12" i="8"/>
  <c r="J12" i="8"/>
  <c r="I12" i="8"/>
  <c r="H12" i="8"/>
  <c r="O11" i="8"/>
  <c r="P11" i="8" s="1"/>
  <c r="M11" i="8"/>
  <c r="L11" i="8"/>
  <c r="K11" i="8"/>
  <c r="J11" i="8"/>
  <c r="I11" i="8"/>
  <c r="H11" i="8"/>
  <c r="O10" i="8"/>
  <c r="M10" i="8"/>
  <c r="L10" i="8"/>
  <c r="K10" i="8"/>
  <c r="J10" i="8"/>
  <c r="I10" i="8"/>
  <c r="H10" i="8"/>
  <c r="O9" i="8"/>
  <c r="M9" i="8"/>
  <c r="L9" i="8"/>
  <c r="K9" i="8"/>
  <c r="J9" i="8"/>
  <c r="I9" i="8"/>
  <c r="H9" i="8"/>
  <c r="O8" i="8"/>
  <c r="P8" i="8" s="1"/>
  <c r="M8" i="8"/>
  <c r="L8" i="8"/>
  <c r="K8" i="8"/>
  <c r="J8" i="8"/>
  <c r="I8" i="8"/>
  <c r="H8" i="8"/>
  <c r="O7" i="8"/>
  <c r="P7" i="8" s="1"/>
  <c r="M7" i="8"/>
  <c r="L7" i="8"/>
  <c r="K7" i="8"/>
  <c r="J7" i="8"/>
  <c r="I7" i="8"/>
  <c r="H7" i="8"/>
  <c r="O6" i="8"/>
  <c r="M6" i="8"/>
  <c r="L6" i="8"/>
  <c r="K6" i="8"/>
  <c r="J6" i="8"/>
  <c r="I6" i="8"/>
  <c r="H6" i="8"/>
  <c r="O5" i="8"/>
  <c r="M5" i="8"/>
  <c r="L5" i="8"/>
  <c r="K5" i="8"/>
  <c r="J5" i="8"/>
  <c r="I5" i="8"/>
  <c r="H5" i="8"/>
  <c r="O4" i="8"/>
  <c r="M4" i="8"/>
  <c r="L4" i="8"/>
  <c r="K4" i="8"/>
  <c r="J4" i="8"/>
  <c r="I4" i="8"/>
  <c r="H4" i="8"/>
  <c r="J128" i="7"/>
  <c r="H128" i="7"/>
  <c r="J127" i="7"/>
  <c r="H127" i="7"/>
  <c r="J126" i="7"/>
  <c r="H126" i="7"/>
  <c r="J125" i="7"/>
  <c r="H125" i="7"/>
  <c r="J124" i="7"/>
  <c r="H124" i="7"/>
  <c r="J123" i="7"/>
  <c r="H123" i="7"/>
  <c r="J122" i="7"/>
  <c r="H122" i="7"/>
  <c r="J121" i="7"/>
  <c r="H121" i="7"/>
  <c r="J120" i="7"/>
  <c r="H120" i="7"/>
  <c r="J119" i="7"/>
  <c r="H119" i="7"/>
  <c r="J118" i="7"/>
  <c r="H118" i="7"/>
  <c r="J117" i="7"/>
  <c r="H117" i="7"/>
  <c r="J116" i="7"/>
  <c r="H116" i="7"/>
  <c r="J115" i="7"/>
  <c r="H115" i="7"/>
  <c r="J114" i="7"/>
  <c r="H114" i="7"/>
  <c r="J113" i="7"/>
  <c r="H113" i="7"/>
  <c r="J112" i="7"/>
  <c r="H112" i="7"/>
  <c r="J111" i="7"/>
  <c r="H111" i="7"/>
  <c r="J110" i="7"/>
  <c r="H110" i="7"/>
  <c r="J109" i="7"/>
  <c r="H109" i="7"/>
  <c r="J108" i="7"/>
  <c r="H108" i="7"/>
  <c r="J107" i="7"/>
  <c r="H107" i="7"/>
  <c r="J106" i="7"/>
  <c r="H106" i="7"/>
  <c r="J105" i="7"/>
  <c r="H105" i="7"/>
  <c r="J104" i="7"/>
  <c r="H104" i="7"/>
  <c r="J103" i="7"/>
  <c r="H103" i="7"/>
  <c r="J102" i="7"/>
  <c r="H102" i="7"/>
  <c r="J101" i="7"/>
  <c r="H101" i="7"/>
  <c r="J100" i="7"/>
  <c r="H100" i="7"/>
  <c r="J99" i="7"/>
  <c r="H99" i="7"/>
  <c r="J98" i="7"/>
  <c r="H98" i="7"/>
  <c r="J97" i="7"/>
  <c r="H97" i="7"/>
  <c r="J96" i="7"/>
  <c r="H96" i="7"/>
  <c r="J95" i="7"/>
  <c r="H95" i="7"/>
  <c r="J94" i="7"/>
  <c r="H94" i="7"/>
  <c r="J93" i="7"/>
  <c r="H93" i="7"/>
  <c r="J92" i="7"/>
  <c r="H92" i="7"/>
  <c r="J91" i="7"/>
  <c r="H91" i="7"/>
  <c r="J90" i="7"/>
  <c r="H90" i="7"/>
  <c r="J89" i="7"/>
  <c r="H89" i="7"/>
  <c r="J88" i="7"/>
  <c r="H88" i="7"/>
  <c r="J87" i="7"/>
  <c r="H87" i="7"/>
  <c r="J86" i="7"/>
  <c r="H86" i="7"/>
  <c r="J85" i="7"/>
  <c r="H85" i="7"/>
  <c r="J84" i="7"/>
  <c r="H84" i="7"/>
  <c r="J83" i="7"/>
  <c r="H83" i="7"/>
  <c r="J82" i="7"/>
  <c r="H82" i="7"/>
  <c r="J81" i="7"/>
  <c r="H81" i="7"/>
  <c r="J80" i="7"/>
  <c r="H80" i="7"/>
  <c r="J79" i="7"/>
  <c r="H79" i="7"/>
  <c r="J78" i="7"/>
  <c r="H78" i="7"/>
  <c r="J77" i="7"/>
  <c r="H77" i="7"/>
  <c r="J76" i="7"/>
  <c r="H76" i="7"/>
  <c r="J75" i="7"/>
  <c r="H75" i="7"/>
  <c r="J74" i="7"/>
  <c r="H74" i="7"/>
  <c r="J73" i="7"/>
  <c r="H73" i="7"/>
  <c r="J72" i="7"/>
  <c r="H72" i="7"/>
  <c r="J71" i="7"/>
  <c r="H71" i="7"/>
  <c r="J70" i="7"/>
  <c r="H70" i="7"/>
  <c r="J69" i="7"/>
  <c r="H69" i="7"/>
  <c r="J68" i="7"/>
  <c r="H68" i="7"/>
  <c r="J67" i="7"/>
  <c r="H67" i="7"/>
  <c r="J66" i="7"/>
  <c r="H66" i="7"/>
  <c r="J65" i="7"/>
  <c r="H65" i="7"/>
  <c r="J64" i="7"/>
  <c r="H64" i="7"/>
  <c r="J63" i="7"/>
  <c r="H63" i="7"/>
  <c r="J62" i="7"/>
  <c r="H62" i="7"/>
  <c r="J61" i="7"/>
  <c r="H61" i="7"/>
  <c r="J60" i="7"/>
  <c r="H60" i="7"/>
  <c r="J59" i="7"/>
  <c r="H59" i="7"/>
  <c r="J58" i="7"/>
  <c r="H58" i="7"/>
  <c r="J57" i="7"/>
  <c r="H57" i="7"/>
  <c r="J56" i="7"/>
  <c r="H56" i="7"/>
  <c r="J55" i="7"/>
  <c r="H55" i="7"/>
  <c r="J54" i="7"/>
  <c r="H54" i="7"/>
  <c r="J53" i="7"/>
  <c r="H53" i="7"/>
  <c r="J52" i="7"/>
  <c r="H52" i="7"/>
  <c r="J51" i="7"/>
  <c r="H51" i="7"/>
  <c r="J50" i="7"/>
  <c r="H50" i="7"/>
  <c r="J49" i="7"/>
  <c r="H49" i="7"/>
  <c r="J48" i="7"/>
  <c r="H48" i="7"/>
  <c r="J47" i="7"/>
  <c r="H47" i="7"/>
  <c r="J46" i="7"/>
  <c r="H46" i="7"/>
  <c r="J45" i="7"/>
  <c r="H45" i="7"/>
  <c r="J44" i="7"/>
  <c r="H44" i="7"/>
  <c r="J43" i="7"/>
  <c r="K43" i="7" s="1"/>
  <c r="H43" i="7"/>
  <c r="J42" i="7"/>
  <c r="K42" i="7" s="1"/>
  <c r="H42" i="7"/>
  <c r="J41" i="7"/>
  <c r="K41" i="7" s="1"/>
  <c r="H41" i="7"/>
  <c r="J40" i="7"/>
  <c r="K40" i="7" s="1"/>
  <c r="H40" i="7"/>
  <c r="J39" i="7"/>
  <c r="K39" i="7" s="1"/>
  <c r="H39" i="7"/>
  <c r="J38" i="7"/>
  <c r="K38" i="7" s="1"/>
  <c r="H38" i="7"/>
  <c r="J37" i="7"/>
  <c r="K37" i="7" s="1"/>
  <c r="H37" i="7"/>
  <c r="J36" i="7"/>
  <c r="K36" i="7" s="1"/>
  <c r="H36" i="7"/>
  <c r="J35" i="7"/>
  <c r="K35" i="7" s="1"/>
  <c r="H35" i="7"/>
  <c r="J34" i="7"/>
  <c r="K34" i="7" s="1"/>
  <c r="H34" i="7"/>
  <c r="J33" i="7"/>
  <c r="K33" i="7" s="1"/>
  <c r="H33" i="7"/>
  <c r="J32" i="7"/>
  <c r="K32" i="7" s="1"/>
  <c r="H32" i="7"/>
  <c r="K31" i="7"/>
  <c r="J31" i="7"/>
  <c r="H31" i="7"/>
  <c r="J30" i="7"/>
  <c r="K30" i="7" s="1"/>
  <c r="H30" i="7"/>
  <c r="J29" i="7"/>
  <c r="H29" i="7"/>
  <c r="J28" i="7"/>
  <c r="K28" i="7" s="1"/>
  <c r="H28" i="7"/>
  <c r="J27" i="7"/>
  <c r="K27" i="7" s="1"/>
  <c r="H27" i="7"/>
  <c r="J26" i="7"/>
  <c r="K26" i="7" s="1"/>
  <c r="H26" i="7"/>
  <c r="J25" i="7"/>
  <c r="K25" i="7" s="1"/>
  <c r="H25" i="7"/>
  <c r="J24" i="7"/>
  <c r="K24" i="7" s="1"/>
  <c r="H24" i="7"/>
  <c r="J23" i="7"/>
  <c r="K23" i="7" s="1"/>
  <c r="H23" i="7"/>
  <c r="J22" i="7"/>
  <c r="K22" i="7" s="1"/>
  <c r="H22" i="7"/>
  <c r="J21" i="7"/>
  <c r="K21" i="7" s="1"/>
  <c r="H21" i="7"/>
  <c r="J20" i="7"/>
  <c r="K20" i="7" s="1"/>
  <c r="H20" i="7"/>
  <c r="J19" i="7"/>
  <c r="K19" i="7" s="1"/>
  <c r="H19" i="7"/>
  <c r="J18" i="7"/>
  <c r="K18" i="7" s="1"/>
  <c r="H18" i="7"/>
  <c r="J17" i="7"/>
  <c r="K17" i="7" s="1"/>
  <c r="H17" i="7"/>
  <c r="J16" i="7"/>
  <c r="K16" i="7" s="1"/>
  <c r="H16" i="7"/>
  <c r="J15" i="7"/>
  <c r="K15" i="7" s="1"/>
  <c r="H15" i="7"/>
  <c r="J14" i="7"/>
  <c r="K14" i="7" s="1"/>
  <c r="H14" i="7"/>
  <c r="J13" i="7"/>
  <c r="K13" i="7" s="1"/>
  <c r="H13" i="7"/>
  <c r="J12" i="7"/>
  <c r="K12" i="7" s="1"/>
  <c r="H12" i="7"/>
  <c r="J11" i="7"/>
  <c r="K11" i="7" s="1"/>
  <c r="H11" i="7"/>
  <c r="J10" i="7"/>
  <c r="K10" i="7" s="1"/>
  <c r="H10" i="7"/>
  <c r="J9" i="7"/>
  <c r="K9" i="7" s="1"/>
  <c r="H9" i="7"/>
  <c r="J8" i="7"/>
  <c r="K8" i="7" s="1"/>
  <c r="H8" i="7"/>
  <c r="J7" i="7"/>
  <c r="K7" i="7" s="1"/>
  <c r="H7" i="7"/>
  <c r="J6" i="7"/>
  <c r="K6" i="7" s="1"/>
  <c r="H6" i="7"/>
  <c r="J5" i="7"/>
  <c r="K5" i="7" s="1"/>
  <c r="H5" i="7"/>
  <c r="J4" i="7"/>
  <c r="H4" i="7"/>
  <c r="M128" i="6"/>
  <c r="N128" i="6" s="1"/>
  <c r="K128" i="6"/>
  <c r="J128" i="6"/>
  <c r="I128" i="6"/>
  <c r="H128" i="6"/>
  <c r="M127" i="6"/>
  <c r="K127" i="6"/>
  <c r="J127" i="6"/>
  <c r="I127" i="6"/>
  <c r="H127" i="6"/>
  <c r="M126" i="6"/>
  <c r="K126" i="6"/>
  <c r="J126" i="6"/>
  <c r="I126" i="6"/>
  <c r="H126" i="6"/>
  <c r="M125" i="6"/>
  <c r="N125" i="6" s="1"/>
  <c r="K125" i="6"/>
  <c r="J125" i="6"/>
  <c r="I125" i="6"/>
  <c r="H125" i="6"/>
  <c r="M124" i="6"/>
  <c r="N124" i="6" s="1"/>
  <c r="K124" i="6"/>
  <c r="J124" i="6"/>
  <c r="I124" i="6"/>
  <c r="H124" i="6"/>
  <c r="M123" i="6"/>
  <c r="K123" i="6"/>
  <c r="J123" i="6"/>
  <c r="I123" i="6"/>
  <c r="H123" i="6"/>
  <c r="M122" i="6"/>
  <c r="K122" i="6"/>
  <c r="J122" i="6"/>
  <c r="I122" i="6"/>
  <c r="H122" i="6"/>
  <c r="M121" i="6"/>
  <c r="N121" i="6" s="1"/>
  <c r="K121" i="6"/>
  <c r="J121" i="6"/>
  <c r="I121" i="6"/>
  <c r="H121" i="6"/>
  <c r="M120" i="6"/>
  <c r="N120" i="6" s="1"/>
  <c r="K120" i="6"/>
  <c r="J120" i="6"/>
  <c r="I120" i="6"/>
  <c r="H120" i="6"/>
  <c r="M119" i="6"/>
  <c r="K119" i="6"/>
  <c r="J119" i="6"/>
  <c r="I119" i="6"/>
  <c r="H119" i="6"/>
  <c r="M118" i="6"/>
  <c r="K118" i="6"/>
  <c r="J118" i="6"/>
  <c r="I118" i="6"/>
  <c r="H118" i="6"/>
  <c r="M117" i="6"/>
  <c r="N117" i="6" s="1"/>
  <c r="K117" i="6"/>
  <c r="J117" i="6"/>
  <c r="I117" i="6"/>
  <c r="H117" i="6"/>
  <c r="M116" i="6"/>
  <c r="N116" i="6" s="1"/>
  <c r="K116" i="6"/>
  <c r="J116" i="6"/>
  <c r="I116" i="6"/>
  <c r="H116" i="6"/>
  <c r="M115" i="6"/>
  <c r="K115" i="6"/>
  <c r="J115" i="6"/>
  <c r="I115" i="6"/>
  <c r="H115" i="6"/>
  <c r="M114" i="6"/>
  <c r="K114" i="6"/>
  <c r="J114" i="6"/>
  <c r="I114" i="6"/>
  <c r="H114" i="6"/>
  <c r="M113" i="6"/>
  <c r="N113" i="6" s="1"/>
  <c r="K113" i="6"/>
  <c r="J113" i="6"/>
  <c r="I113" i="6"/>
  <c r="H113" i="6"/>
  <c r="M112" i="6"/>
  <c r="N112" i="6" s="1"/>
  <c r="K112" i="6"/>
  <c r="J112" i="6"/>
  <c r="I112" i="6"/>
  <c r="H112" i="6"/>
  <c r="M111" i="6"/>
  <c r="K111" i="6"/>
  <c r="J111" i="6"/>
  <c r="I111" i="6"/>
  <c r="H111" i="6"/>
  <c r="M110" i="6"/>
  <c r="K110" i="6"/>
  <c r="J110" i="6"/>
  <c r="I110" i="6"/>
  <c r="H110" i="6"/>
  <c r="M109" i="6"/>
  <c r="N109" i="6" s="1"/>
  <c r="K109" i="6"/>
  <c r="J109" i="6"/>
  <c r="I109" i="6"/>
  <c r="H109" i="6"/>
  <c r="M108" i="6"/>
  <c r="N108" i="6" s="1"/>
  <c r="K108" i="6"/>
  <c r="J108" i="6"/>
  <c r="I108" i="6"/>
  <c r="H108" i="6"/>
  <c r="M107" i="6"/>
  <c r="K107" i="6"/>
  <c r="J107" i="6"/>
  <c r="I107" i="6"/>
  <c r="H107" i="6"/>
  <c r="M106" i="6"/>
  <c r="K106" i="6"/>
  <c r="J106" i="6"/>
  <c r="I106" i="6"/>
  <c r="H106" i="6"/>
  <c r="M105" i="6"/>
  <c r="N105" i="6" s="1"/>
  <c r="K105" i="6"/>
  <c r="J105" i="6"/>
  <c r="I105" i="6"/>
  <c r="H105" i="6"/>
  <c r="M104" i="6"/>
  <c r="N104" i="6" s="1"/>
  <c r="K104" i="6"/>
  <c r="J104" i="6"/>
  <c r="I104" i="6"/>
  <c r="H104" i="6"/>
  <c r="M103" i="6"/>
  <c r="K103" i="6"/>
  <c r="J103" i="6"/>
  <c r="I103" i="6"/>
  <c r="H103" i="6"/>
  <c r="M102" i="6"/>
  <c r="K102" i="6"/>
  <c r="J102" i="6"/>
  <c r="I102" i="6"/>
  <c r="H102" i="6"/>
  <c r="M101" i="6"/>
  <c r="N101" i="6" s="1"/>
  <c r="K101" i="6"/>
  <c r="J101" i="6"/>
  <c r="I101" i="6"/>
  <c r="H101" i="6"/>
  <c r="M100" i="6"/>
  <c r="N100" i="6" s="1"/>
  <c r="K100" i="6"/>
  <c r="J100" i="6"/>
  <c r="I100" i="6"/>
  <c r="H100" i="6"/>
  <c r="M99" i="6"/>
  <c r="K99" i="6"/>
  <c r="J99" i="6"/>
  <c r="I99" i="6"/>
  <c r="H99" i="6"/>
  <c r="M98" i="6"/>
  <c r="K98" i="6"/>
  <c r="J98" i="6"/>
  <c r="I98" i="6"/>
  <c r="H98" i="6"/>
  <c r="M97" i="6"/>
  <c r="N97" i="6" s="1"/>
  <c r="K97" i="6"/>
  <c r="J97" i="6"/>
  <c r="I97" i="6"/>
  <c r="H97" i="6"/>
  <c r="M96" i="6"/>
  <c r="N96" i="6" s="1"/>
  <c r="K96" i="6"/>
  <c r="J96" i="6"/>
  <c r="I96" i="6"/>
  <c r="H96" i="6"/>
  <c r="M95" i="6"/>
  <c r="K95" i="6"/>
  <c r="J95" i="6"/>
  <c r="I95" i="6"/>
  <c r="H95" i="6"/>
  <c r="M94" i="6"/>
  <c r="K94" i="6"/>
  <c r="J94" i="6"/>
  <c r="I94" i="6"/>
  <c r="H94" i="6"/>
  <c r="M93" i="6"/>
  <c r="N93" i="6" s="1"/>
  <c r="K93" i="6"/>
  <c r="J93" i="6"/>
  <c r="I93" i="6"/>
  <c r="H93" i="6"/>
  <c r="M92" i="6"/>
  <c r="N92" i="6" s="1"/>
  <c r="K92" i="6"/>
  <c r="J92" i="6"/>
  <c r="I92" i="6"/>
  <c r="H92" i="6"/>
  <c r="M91" i="6"/>
  <c r="K91" i="6"/>
  <c r="J91" i="6"/>
  <c r="I91" i="6"/>
  <c r="H91" i="6"/>
  <c r="M90" i="6"/>
  <c r="K90" i="6"/>
  <c r="J90" i="6"/>
  <c r="I90" i="6"/>
  <c r="H90" i="6"/>
  <c r="M89" i="6"/>
  <c r="N89" i="6" s="1"/>
  <c r="K89" i="6"/>
  <c r="J89" i="6"/>
  <c r="I89" i="6"/>
  <c r="H89" i="6"/>
  <c r="M88" i="6"/>
  <c r="N88" i="6" s="1"/>
  <c r="K88" i="6"/>
  <c r="J88" i="6"/>
  <c r="I88" i="6"/>
  <c r="H88" i="6"/>
  <c r="M87" i="6"/>
  <c r="K87" i="6"/>
  <c r="J87" i="6"/>
  <c r="I87" i="6"/>
  <c r="H87" i="6"/>
  <c r="M86" i="6"/>
  <c r="K86" i="6"/>
  <c r="J86" i="6"/>
  <c r="I86" i="6"/>
  <c r="H86" i="6"/>
  <c r="M85" i="6"/>
  <c r="N85" i="6" s="1"/>
  <c r="K85" i="6"/>
  <c r="J85" i="6"/>
  <c r="I85" i="6"/>
  <c r="H85" i="6"/>
  <c r="M84" i="6"/>
  <c r="N84" i="6" s="1"/>
  <c r="K84" i="6"/>
  <c r="J84" i="6"/>
  <c r="I84" i="6"/>
  <c r="H84" i="6"/>
  <c r="M83" i="6"/>
  <c r="K83" i="6"/>
  <c r="J83" i="6"/>
  <c r="I83" i="6"/>
  <c r="H83" i="6"/>
  <c r="M82" i="6"/>
  <c r="K82" i="6"/>
  <c r="J82" i="6"/>
  <c r="I82" i="6"/>
  <c r="H82" i="6"/>
  <c r="M81" i="6"/>
  <c r="N81" i="6" s="1"/>
  <c r="K81" i="6"/>
  <c r="J81" i="6"/>
  <c r="I81" i="6"/>
  <c r="H81" i="6"/>
  <c r="M80" i="6"/>
  <c r="N80" i="6" s="1"/>
  <c r="K80" i="6"/>
  <c r="J80" i="6"/>
  <c r="I80" i="6"/>
  <c r="H80" i="6"/>
  <c r="M79" i="6"/>
  <c r="K79" i="6"/>
  <c r="J79" i="6"/>
  <c r="I79" i="6"/>
  <c r="H79" i="6"/>
  <c r="M78" i="6"/>
  <c r="K78" i="6"/>
  <c r="J78" i="6"/>
  <c r="I78" i="6"/>
  <c r="H78" i="6"/>
  <c r="M77" i="6"/>
  <c r="N77" i="6" s="1"/>
  <c r="K77" i="6"/>
  <c r="J77" i="6"/>
  <c r="I77" i="6"/>
  <c r="H77" i="6"/>
  <c r="M76" i="6"/>
  <c r="N76" i="6" s="1"/>
  <c r="K76" i="6"/>
  <c r="J76" i="6"/>
  <c r="I76" i="6"/>
  <c r="H76" i="6"/>
  <c r="M75" i="6"/>
  <c r="K75" i="6"/>
  <c r="J75" i="6"/>
  <c r="I75" i="6"/>
  <c r="H75" i="6"/>
  <c r="M74" i="6"/>
  <c r="K74" i="6"/>
  <c r="J74" i="6"/>
  <c r="I74" i="6"/>
  <c r="H74" i="6"/>
  <c r="M73" i="6"/>
  <c r="N73" i="6" s="1"/>
  <c r="K73" i="6"/>
  <c r="J73" i="6"/>
  <c r="I73" i="6"/>
  <c r="H73" i="6"/>
  <c r="M72" i="6"/>
  <c r="N72" i="6" s="1"/>
  <c r="K72" i="6"/>
  <c r="J72" i="6"/>
  <c r="I72" i="6"/>
  <c r="H72" i="6"/>
  <c r="M71" i="6"/>
  <c r="K71" i="6"/>
  <c r="J71" i="6"/>
  <c r="I71" i="6"/>
  <c r="H71" i="6"/>
  <c r="M70" i="6"/>
  <c r="K70" i="6"/>
  <c r="J70" i="6"/>
  <c r="I70" i="6"/>
  <c r="H70" i="6"/>
  <c r="M69" i="6"/>
  <c r="N69" i="6" s="1"/>
  <c r="K69" i="6"/>
  <c r="J69" i="6"/>
  <c r="I69" i="6"/>
  <c r="H69" i="6"/>
  <c r="M68" i="6"/>
  <c r="N68" i="6" s="1"/>
  <c r="K68" i="6"/>
  <c r="J68" i="6"/>
  <c r="I68" i="6"/>
  <c r="H68" i="6"/>
  <c r="M67" i="6"/>
  <c r="K67" i="6"/>
  <c r="J67" i="6"/>
  <c r="I67" i="6"/>
  <c r="H67" i="6"/>
  <c r="M66" i="6"/>
  <c r="K66" i="6"/>
  <c r="J66" i="6"/>
  <c r="I66" i="6"/>
  <c r="H66" i="6"/>
  <c r="M65" i="6"/>
  <c r="N65" i="6" s="1"/>
  <c r="K65" i="6"/>
  <c r="J65" i="6"/>
  <c r="I65" i="6"/>
  <c r="H65" i="6"/>
  <c r="M64" i="6"/>
  <c r="N64" i="6" s="1"/>
  <c r="K64" i="6"/>
  <c r="J64" i="6"/>
  <c r="I64" i="6"/>
  <c r="H64" i="6"/>
  <c r="M63" i="6"/>
  <c r="K63" i="6"/>
  <c r="J63" i="6"/>
  <c r="I63" i="6"/>
  <c r="H63" i="6"/>
  <c r="M62" i="6"/>
  <c r="K62" i="6"/>
  <c r="J62" i="6"/>
  <c r="I62" i="6"/>
  <c r="H62" i="6"/>
  <c r="M61" i="6"/>
  <c r="N61" i="6" s="1"/>
  <c r="K61" i="6"/>
  <c r="J61" i="6"/>
  <c r="I61" i="6"/>
  <c r="H61" i="6"/>
  <c r="M60" i="6"/>
  <c r="N60" i="6" s="1"/>
  <c r="K60" i="6"/>
  <c r="J60" i="6"/>
  <c r="I60" i="6"/>
  <c r="H60" i="6"/>
  <c r="M59" i="6"/>
  <c r="K59" i="6"/>
  <c r="J59" i="6"/>
  <c r="I59" i="6"/>
  <c r="H59" i="6"/>
  <c r="M58" i="6"/>
  <c r="K58" i="6"/>
  <c r="J58" i="6"/>
  <c r="I58" i="6"/>
  <c r="H58" i="6"/>
  <c r="M57" i="6"/>
  <c r="N57" i="6" s="1"/>
  <c r="K57" i="6"/>
  <c r="J57" i="6"/>
  <c r="I57" i="6"/>
  <c r="H57" i="6"/>
  <c r="M56" i="6"/>
  <c r="N56" i="6" s="1"/>
  <c r="K56" i="6"/>
  <c r="J56" i="6"/>
  <c r="I56" i="6"/>
  <c r="H56" i="6"/>
  <c r="M55" i="6"/>
  <c r="K55" i="6"/>
  <c r="J55" i="6"/>
  <c r="I55" i="6"/>
  <c r="H55" i="6"/>
  <c r="M54" i="6"/>
  <c r="K54" i="6"/>
  <c r="J54" i="6"/>
  <c r="I54" i="6"/>
  <c r="H54" i="6"/>
  <c r="M53" i="6"/>
  <c r="N53" i="6" s="1"/>
  <c r="K53" i="6"/>
  <c r="J53" i="6"/>
  <c r="I53" i="6"/>
  <c r="H53" i="6"/>
  <c r="M52" i="6"/>
  <c r="N52" i="6" s="1"/>
  <c r="K52" i="6"/>
  <c r="J52" i="6"/>
  <c r="I52" i="6"/>
  <c r="H52" i="6"/>
  <c r="M51" i="6"/>
  <c r="K51" i="6"/>
  <c r="J51" i="6"/>
  <c r="I51" i="6"/>
  <c r="H51" i="6"/>
  <c r="M50" i="6"/>
  <c r="K50" i="6"/>
  <c r="J50" i="6"/>
  <c r="I50" i="6"/>
  <c r="H50" i="6"/>
  <c r="M49" i="6"/>
  <c r="N49" i="6" s="1"/>
  <c r="K49" i="6"/>
  <c r="J49" i="6"/>
  <c r="I49" i="6"/>
  <c r="H49" i="6"/>
  <c r="M48" i="6"/>
  <c r="N48" i="6" s="1"/>
  <c r="K48" i="6"/>
  <c r="J48" i="6"/>
  <c r="I48" i="6"/>
  <c r="H48" i="6"/>
  <c r="M47" i="6"/>
  <c r="K47" i="6"/>
  <c r="J47" i="6"/>
  <c r="I47" i="6"/>
  <c r="H47" i="6"/>
  <c r="M46" i="6"/>
  <c r="K46" i="6"/>
  <c r="J46" i="6"/>
  <c r="I46" i="6"/>
  <c r="H46" i="6"/>
  <c r="M45" i="6"/>
  <c r="N45" i="6" s="1"/>
  <c r="K45" i="6"/>
  <c r="J45" i="6"/>
  <c r="I45" i="6"/>
  <c r="H45" i="6"/>
  <c r="M44" i="6"/>
  <c r="N44" i="6" s="1"/>
  <c r="K44" i="6"/>
  <c r="J44" i="6"/>
  <c r="I44" i="6"/>
  <c r="H44" i="6"/>
  <c r="M43" i="6"/>
  <c r="K43" i="6"/>
  <c r="J43" i="6"/>
  <c r="I43" i="6"/>
  <c r="H43" i="6"/>
  <c r="M42" i="6"/>
  <c r="K42" i="6"/>
  <c r="J42" i="6"/>
  <c r="I42" i="6"/>
  <c r="H42" i="6"/>
  <c r="M41" i="6"/>
  <c r="N41" i="6" s="1"/>
  <c r="K41" i="6"/>
  <c r="J41" i="6"/>
  <c r="I41" i="6"/>
  <c r="H41" i="6"/>
  <c r="M40" i="6"/>
  <c r="N40" i="6" s="1"/>
  <c r="K40" i="6"/>
  <c r="J40" i="6"/>
  <c r="I40" i="6"/>
  <c r="H40" i="6"/>
  <c r="M39" i="6"/>
  <c r="K39" i="6"/>
  <c r="J39" i="6"/>
  <c r="I39" i="6"/>
  <c r="H39" i="6"/>
  <c r="M38" i="6"/>
  <c r="K38" i="6"/>
  <c r="J38" i="6"/>
  <c r="I38" i="6"/>
  <c r="H38" i="6"/>
  <c r="M37" i="6"/>
  <c r="N37" i="6" s="1"/>
  <c r="K37" i="6"/>
  <c r="J37" i="6"/>
  <c r="I37" i="6"/>
  <c r="H37" i="6"/>
  <c r="M36" i="6"/>
  <c r="N36" i="6" s="1"/>
  <c r="K36" i="6"/>
  <c r="J36" i="6"/>
  <c r="I36" i="6"/>
  <c r="H36" i="6"/>
  <c r="M35" i="6"/>
  <c r="N35" i="6" s="1"/>
  <c r="K35" i="6"/>
  <c r="J35" i="6"/>
  <c r="I35" i="6"/>
  <c r="H35" i="6"/>
  <c r="M34" i="6"/>
  <c r="N34" i="6" s="1"/>
  <c r="K34" i="6"/>
  <c r="J34" i="6"/>
  <c r="I34" i="6"/>
  <c r="H34" i="6"/>
  <c r="M33" i="6"/>
  <c r="N33" i="6" s="1"/>
  <c r="K33" i="6"/>
  <c r="J33" i="6"/>
  <c r="I33" i="6"/>
  <c r="H33" i="6"/>
  <c r="M32" i="6"/>
  <c r="N32" i="6" s="1"/>
  <c r="K32" i="6"/>
  <c r="J32" i="6"/>
  <c r="I32" i="6"/>
  <c r="H32" i="6"/>
  <c r="M31" i="6"/>
  <c r="N31" i="6" s="1"/>
  <c r="K31" i="6"/>
  <c r="J31" i="6"/>
  <c r="I31" i="6"/>
  <c r="H31" i="6"/>
  <c r="M30" i="6"/>
  <c r="N30" i="6" s="1"/>
  <c r="K30" i="6"/>
  <c r="J30" i="6"/>
  <c r="I30" i="6"/>
  <c r="H30" i="6"/>
  <c r="M29" i="6"/>
  <c r="N29" i="6" s="1"/>
  <c r="K29" i="6"/>
  <c r="J29" i="6"/>
  <c r="I29" i="6"/>
  <c r="H29" i="6"/>
  <c r="M28" i="6"/>
  <c r="N28" i="6" s="1"/>
  <c r="K28" i="6"/>
  <c r="J28" i="6"/>
  <c r="I28" i="6"/>
  <c r="H28" i="6"/>
  <c r="M27" i="6"/>
  <c r="K27" i="6"/>
  <c r="J27" i="6"/>
  <c r="I27" i="6"/>
  <c r="H27" i="6"/>
  <c r="M26" i="6"/>
  <c r="K26" i="6"/>
  <c r="J26" i="6"/>
  <c r="I26" i="6"/>
  <c r="H26" i="6"/>
  <c r="M25" i="6"/>
  <c r="N25" i="6" s="1"/>
  <c r="K25" i="6"/>
  <c r="J25" i="6"/>
  <c r="I25" i="6"/>
  <c r="H25" i="6"/>
  <c r="M24" i="6"/>
  <c r="N24" i="6" s="1"/>
  <c r="K24" i="6"/>
  <c r="J24" i="6"/>
  <c r="I24" i="6"/>
  <c r="H24" i="6"/>
  <c r="M23" i="6"/>
  <c r="K23" i="6"/>
  <c r="J23" i="6"/>
  <c r="I23" i="6"/>
  <c r="H23" i="6"/>
  <c r="M22" i="6"/>
  <c r="K22" i="6"/>
  <c r="J22" i="6"/>
  <c r="I22" i="6"/>
  <c r="H22" i="6"/>
  <c r="M21" i="6"/>
  <c r="N21" i="6" s="1"/>
  <c r="K21" i="6"/>
  <c r="J21" i="6"/>
  <c r="I21" i="6"/>
  <c r="H21" i="6"/>
  <c r="M20" i="6"/>
  <c r="N20" i="6" s="1"/>
  <c r="K20" i="6"/>
  <c r="J20" i="6"/>
  <c r="I20" i="6"/>
  <c r="H20" i="6"/>
  <c r="M19" i="6"/>
  <c r="K19" i="6"/>
  <c r="J19" i="6"/>
  <c r="I19" i="6"/>
  <c r="H19" i="6"/>
  <c r="M18" i="6"/>
  <c r="K18" i="6"/>
  <c r="J18" i="6"/>
  <c r="I18" i="6"/>
  <c r="H18" i="6"/>
  <c r="M17" i="6"/>
  <c r="N17" i="6" s="1"/>
  <c r="K17" i="6"/>
  <c r="J17" i="6"/>
  <c r="I17" i="6"/>
  <c r="H17" i="6"/>
  <c r="M16" i="6"/>
  <c r="N16" i="6" s="1"/>
  <c r="K16" i="6"/>
  <c r="J16" i="6"/>
  <c r="I16" i="6"/>
  <c r="H16" i="6"/>
  <c r="M15" i="6"/>
  <c r="K15" i="6"/>
  <c r="J15" i="6"/>
  <c r="I15" i="6"/>
  <c r="H15" i="6"/>
  <c r="M14" i="6"/>
  <c r="K14" i="6"/>
  <c r="J14" i="6"/>
  <c r="I14" i="6"/>
  <c r="H14" i="6"/>
  <c r="M13" i="6"/>
  <c r="N13" i="6" s="1"/>
  <c r="K13" i="6"/>
  <c r="J13" i="6"/>
  <c r="I13" i="6"/>
  <c r="H13" i="6"/>
  <c r="M12" i="6"/>
  <c r="N12" i="6" s="1"/>
  <c r="K12" i="6"/>
  <c r="J12" i="6"/>
  <c r="I12" i="6"/>
  <c r="H12" i="6"/>
  <c r="M11" i="6"/>
  <c r="K11" i="6"/>
  <c r="J11" i="6"/>
  <c r="I11" i="6"/>
  <c r="H11" i="6"/>
  <c r="M10" i="6"/>
  <c r="K10" i="6"/>
  <c r="J10" i="6"/>
  <c r="I10" i="6"/>
  <c r="H10" i="6"/>
  <c r="M9" i="6"/>
  <c r="N9" i="6" s="1"/>
  <c r="K9" i="6"/>
  <c r="J9" i="6"/>
  <c r="I9" i="6"/>
  <c r="H9" i="6"/>
  <c r="M8" i="6"/>
  <c r="N8" i="6" s="1"/>
  <c r="K8" i="6"/>
  <c r="J8" i="6"/>
  <c r="I8" i="6"/>
  <c r="H8" i="6"/>
  <c r="M7" i="6"/>
  <c r="K7" i="6"/>
  <c r="J7" i="6"/>
  <c r="I7" i="6"/>
  <c r="H7" i="6"/>
  <c r="M6" i="6"/>
  <c r="K6" i="6"/>
  <c r="J6" i="6"/>
  <c r="I6" i="6"/>
  <c r="H6" i="6"/>
  <c r="M5" i="6"/>
  <c r="N5" i="6" s="1"/>
  <c r="K5" i="6"/>
  <c r="J5" i="6"/>
  <c r="I5" i="6"/>
  <c r="H5" i="6"/>
  <c r="M4" i="6"/>
  <c r="K4" i="6"/>
  <c r="J4" i="6"/>
  <c r="I4" i="6"/>
  <c r="H4" i="6"/>
  <c r="N128" i="5"/>
  <c r="L128" i="5"/>
  <c r="K128" i="5"/>
  <c r="J128" i="5"/>
  <c r="I128" i="5"/>
  <c r="H128" i="5"/>
  <c r="N127" i="5"/>
  <c r="L127" i="5"/>
  <c r="K127" i="5"/>
  <c r="J127" i="5"/>
  <c r="I127" i="5"/>
  <c r="H127" i="5"/>
  <c r="N126" i="5"/>
  <c r="O126" i="5" s="1"/>
  <c r="L126" i="5"/>
  <c r="K126" i="5"/>
  <c r="J126" i="5"/>
  <c r="I126" i="5"/>
  <c r="H126" i="5"/>
  <c r="N125" i="5"/>
  <c r="L125" i="5"/>
  <c r="K125" i="5"/>
  <c r="J125" i="5"/>
  <c r="I125" i="5"/>
  <c r="H125" i="5"/>
  <c r="N124" i="5"/>
  <c r="O124" i="5" s="1"/>
  <c r="L124" i="5"/>
  <c r="K124" i="5"/>
  <c r="J124" i="5"/>
  <c r="I124" i="5"/>
  <c r="H124" i="5"/>
  <c r="N123" i="5"/>
  <c r="L123" i="5"/>
  <c r="K123" i="5"/>
  <c r="J123" i="5"/>
  <c r="I123" i="5"/>
  <c r="H123" i="5"/>
  <c r="N122" i="5"/>
  <c r="O122" i="5" s="1"/>
  <c r="L122" i="5"/>
  <c r="K122" i="5"/>
  <c r="J122" i="5"/>
  <c r="I122" i="5"/>
  <c r="H122" i="5"/>
  <c r="N121" i="5"/>
  <c r="L121" i="5"/>
  <c r="K121" i="5"/>
  <c r="J121" i="5"/>
  <c r="I121" i="5"/>
  <c r="H121" i="5"/>
  <c r="N120" i="5"/>
  <c r="L120" i="5"/>
  <c r="K120" i="5"/>
  <c r="J120" i="5"/>
  <c r="I120" i="5"/>
  <c r="H120" i="5"/>
  <c r="N119" i="5"/>
  <c r="L119" i="5"/>
  <c r="K119" i="5"/>
  <c r="J119" i="5"/>
  <c r="I119" i="5"/>
  <c r="H119" i="5"/>
  <c r="N118" i="5"/>
  <c r="O118" i="5" s="1"/>
  <c r="L118" i="5"/>
  <c r="K118" i="5"/>
  <c r="J118" i="5"/>
  <c r="I118" i="5"/>
  <c r="H118" i="5"/>
  <c r="N117" i="5"/>
  <c r="L117" i="5"/>
  <c r="K117" i="5"/>
  <c r="J117" i="5"/>
  <c r="I117" i="5"/>
  <c r="H117" i="5"/>
  <c r="N116" i="5"/>
  <c r="O116" i="5" s="1"/>
  <c r="L116" i="5"/>
  <c r="K116" i="5"/>
  <c r="J116" i="5"/>
  <c r="I116" i="5"/>
  <c r="H116" i="5"/>
  <c r="N115" i="5"/>
  <c r="L115" i="5"/>
  <c r="K115" i="5"/>
  <c r="J115" i="5"/>
  <c r="I115" i="5"/>
  <c r="H115" i="5"/>
  <c r="N114" i="5"/>
  <c r="O114" i="5" s="1"/>
  <c r="L114" i="5"/>
  <c r="K114" i="5"/>
  <c r="J114" i="5"/>
  <c r="I114" i="5"/>
  <c r="H114" i="5"/>
  <c r="N113" i="5"/>
  <c r="L113" i="5"/>
  <c r="K113" i="5"/>
  <c r="J113" i="5"/>
  <c r="I113" i="5"/>
  <c r="H113" i="5"/>
  <c r="N112" i="5"/>
  <c r="L112" i="5"/>
  <c r="K112" i="5"/>
  <c r="J112" i="5"/>
  <c r="I112" i="5"/>
  <c r="H112" i="5"/>
  <c r="N111" i="5"/>
  <c r="L111" i="5"/>
  <c r="K111" i="5"/>
  <c r="J111" i="5"/>
  <c r="I111" i="5"/>
  <c r="H111" i="5"/>
  <c r="N110" i="5"/>
  <c r="O110" i="5" s="1"/>
  <c r="L110" i="5"/>
  <c r="K110" i="5"/>
  <c r="J110" i="5"/>
  <c r="I110" i="5"/>
  <c r="H110" i="5"/>
  <c r="N109" i="5"/>
  <c r="L109" i="5"/>
  <c r="K109" i="5"/>
  <c r="J109" i="5"/>
  <c r="I109" i="5"/>
  <c r="H109" i="5"/>
  <c r="N108" i="5"/>
  <c r="O108" i="5" s="1"/>
  <c r="L108" i="5"/>
  <c r="K108" i="5"/>
  <c r="J108" i="5"/>
  <c r="I108" i="5"/>
  <c r="H108" i="5"/>
  <c r="N107" i="5"/>
  <c r="L107" i="5"/>
  <c r="K107" i="5"/>
  <c r="J107" i="5"/>
  <c r="I107" i="5"/>
  <c r="H107" i="5"/>
  <c r="N106" i="5"/>
  <c r="O106" i="5" s="1"/>
  <c r="L106" i="5"/>
  <c r="K106" i="5"/>
  <c r="J106" i="5"/>
  <c r="I106" i="5"/>
  <c r="H106" i="5"/>
  <c r="N105" i="5"/>
  <c r="L105" i="5"/>
  <c r="K105" i="5"/>
  <c r="J105" i="5"/>
  <c r="I105" i="5"/>
  <c r="H105" i="5"/>
  <c r="N104" i="5"/>
  <c r="L104" i="5"/>
  <c r="K104" i="5"/>
  <c r="J104" i="5"/>
  <c r="I104" i="5"/>
  <c r="H104" i="5"/>
  <c r="N103" i="5"/>
  <c r="L103" i="5"/>
  <c r="K103" i="5"/>
  <c r="J103" i="5"/>
  <c r="I103" i="5"/>
  <c r="H103" i="5"/>
  <c r="N102" i="5"/>
  <c r="O102" i="5" s="1"/>
  <c r="L102" i="5"/>
  <c r="K102" i="5"/>
  <c r="J102" i="5"/>
  <c r="I102" i="5"/>
  <c r="H102" i="5"/>
  <c r="N101" i="5"/>
  <c r="L101" i="5"/>
  <c r="K101" i="5"/>
  <c r="J101" i="5"/>
  <c r="I101" i="5"/>
  <c r="H101" i="5"/>
  <c r="N100" i="5"/>
  <c r="O100" i="5" s="1"/>
  <c r="L100" i="5"/>
  <c r="K100" i="5"/>
  <c r="J100" i="5"/>
  <c r="I100" i="5"/>
  <c r="H100" i="5"/>
  <c r="N99" i="5"/>
  <c r="L99" i="5"/>
  <c r="K99" i="5"/>
  <c r="J99" i="5"/>
  <c r="I99" i="5"/>
  <c r="H99" i="5"/>
  <c r="N98" i="5"/>
  <c r="O98" i="5" s="1"/>
  <c r="L98" i="5"/>
  <c r="K98" i="5"/>
  <c r="J98" i="5"/>
  <c r="I98" i="5"/>
  <c r="H98" i="5"/>
  <c r="N97" i="5"/>
  <c r="L97" i="5"/>
  <c r="K97" i="5"/>
  <c r="J97" i="5"/>
  <c r="I97" i="5"/>
  <c r="H97" i="5"/>
  <c r="N96" i="5"/>
  <c r="L96" i="5"/>
  <c r="K96" i="5"/>
  <c r="J96" i="5"/>
  <c r="I96" i="5"/>
  <c r="H96" i="5"/>
  <c r="N95" i="5"/>
  <c r="L95" i="5"/>
  <c r="K95" i="5"/>
  <c r="J95" i="5"/>
  <c r="I95" i="5"/>
  <c r="H95" i="5"/>
  <c r="N94" i="5"/>
  <c r="O94" i="5" s="1"/>
  <c r="L94" i="5"/>
  <c r="K94" i="5"/>
  <c r="J94" i="5"/>
  <c r="I94" i="5"/>
  <c r="H94" i="5"/>
  <c r="N93" i="5"/>
  <c r="L93" i="5"/>
  <c r="K93" i="5"/>
  <c r="J93" i="5"/>
  <c r="I93" i="5"/>
  <c r="H93" i="5"/>
  <c r="N92" i="5"/>
  <c r="L92" i="5"/>
  <c r="K92" i="5"/>
  <c r="J92" i="5"/>
  <c r="I92" i="5"/>
  <c r="H92" i="5"/>
  <c r="N91" i="5"/>
  <c r="L91" i="5"/>
  <c r="K91" i="5"/>
  <c r="J91" i="5"/>
  <c r="I91" i="5"/>
  <c r="H91" i="5"/>
  <c r="N90" i="5"/>
  <c r="O90" i="5" s="1"/>
  <c r="L90" i="5"/>
  <c r="K90" i="5"/>
  <c r="J90" i="5"/>
  <c r="I90" i="5"/>
  <c r="H90" i="5"/>
  <c r="N89" i="5"/>
  <c r="L89" i="5"/>
  <c r="K89" i="5"/>
  <c r="J89" i="5"/>
  <c r="I89" i="5"/>
  <c r="H89" i="5"/>
  <c r="N88" i="5"/>
  <c r="L88" i="5"/>
  <c r="K88" i="5"/>
  <c r="J88" i="5"/>
  <c r="I88" i="5"/>
  <c r="H88" i="5"/>
  <c r="N87" i="5"/>
  <c r="L87" i="5"/>
  <c r="K87" i="5"/>
  <c r="J87" i="5"/>
  <c r="I87" i="5"/>
  <c r="H87" i="5"/>
  <c r="N86" i="5"/>
  <c r="O86" i="5" s="1"/>
  <c r="L86" i="5"/>
  <c r="K86" i="5"/>
  <c r="J86" i="5"/>
  <c r="I86" i="5"/>
  <c r="H86" i="5"/>
  <c r="N85" i="5"/>
  <c r="L85" i="5"/>
  <c r="K85" i="5"/>
  <c r="J85" i="5"/>
  <c r="I85" i="5"/>
  <c r="H85" i="5"/>
  <c r="N84" i="5"/>
  <c r="O84" i="5" s="1"/>
  <c r="L84" i="5"/>
  <c r="K84" i="5"/>
  <c r="J84" i="5"/>
  <c r="I84" i="5"/>
  <c r="H84" i="5"/>
  <c r="N83" i="5"/>
  <c r="L83" i="5"/>
  <c r="K83" i="5"/>
  <c r="J83" i="5"/>
  <c r="I83" i="5"/>
  <c r="H83" i="5"/>
  <c r="N82" i="5"/>
  <c r="O82" i="5" s="1"/>
  <c r="L82" i="5"/>
  <c r="K82" i="5"/>
  <c r="J82" i="5"/>
  <c r="I82" i="5"/>
  <c r="H82" i="5"/>
  <c r="N81" i="5"/>
  <c r="L81" i="5"/>
  <c r="K81" i="5"/>
  <c r="J81" i="5"/>
  <c r="I81" i="5"/>
  <c r="H81" i="5"/>
  <c r="N80" i="5"/>
  <c r="L80" i="5"/>
  <c r="K80" i="5"/>
  <c r="J80" i="5"/>
  <c r="I80" i="5"/>
  <c r="H80" i="5"/>
  <c r="N79" i="5"/>
  <c r="L79" i="5"/>
  <c r="K79" i="5"/>
  <c r="J79" i="5"/>
  <c r="I79" i="5"/>
  <c r="H79" i="5"/>
  <c r="N78" i="5"/>
  <c r="O78" i="5" s="1"/>
  <c r="L78" i="5"/>
  <c r="K78" i="5"/>
  <c r="J78" i="5"/>
  <c r="I78" i="5"/>
  <c r="H78" i="5"/>
  <c r="N77" i="5"/>
  <c r="L77" i="5"/>
  <c r="K77" i="5"/>
  <c r="J77" i="5"/>
  <c r="I77" i="5"/>
  <c r="H77" i="5"/>
  <c r="N76" i="5"/>
  <c r="O76" i="5" s="1"/>
  <c r="L76" i="5"/>
  <c r="K76" i="5"/>
  <c r="J76" i="5"/>
  <c r="I76" i="5"/>
  <c r="H76" i="5"/>
  <c r="N75" i="5"/>
  <c r="L75" i="5"/>
  <c r="K75" i="5"/>
  <c r="J75" i="5"/>
  <c r="I75" i="5"/>
  <c r="H75" i="5"/>
  <c r="N74" i="5"/>
  <c r="O74" i="5" s="1"/>
  <c r="L74" i="5"/>
  <c r="K74" i="5"/>
  <c r="J74" i="5"/>
  <c r="I74" i="5"/>
  <c r="H74" i="5"/>
  <c r="N73" i="5"/>
  <c r="L73" i="5"/>
  <c r="K73" i="5"/>
  <c r="J73" i="5"/>
  <c r="I73" i="5"/>
  <c r="H73" i="5"/>
  <c r="N72" i="5"/>
  <c r="L72" i="5"/>
  <c r="K72" i="5"/>
  <c r="J72" i="5"/>
  <c r="I72" i="5"/>
  <c r="H72" i="5"/>
  <c r="N71" i="5"/>
  <c r="L71" i="5"/>
  <c r="K71" i="5"/>
  <c r="J71" i="5"/>
  <c r="I71" i="5"/>
  <c r="H71" i="5"/>
  <c r="N70" i="5"/>
  <c r="O70" i="5" s="1"/>
  <c r="L70" i="5"/>
  <c r="K70" i="5"/>
  <c r="J70" i="5"/>
  <c r="I70" i="5"/>
  <c r="H70" i="5"/>
  <c r="N69" i="5"/>
  <c r="L69" i="5"/>
  <c r="K69" i="5"/>
  <c r="J69" i="5"/>
  <c r="I69" i="5"/>
  <c r="H69" i="5"/>
  <c r="N68" i="5"/>
  <c r="L68" i="5"/>
  <c r="K68" i="5"/>
  <c r="J68" i="5"/>
  <c r="I68" i="5"/>
  <c r="H68" i="5"/>
  <c r="N67" i="5"/>
  <c r="L67" i="5"/>
  <c r="K67" i="5"/>
  <c r="J67" i="5"/>
  <c r="I67" i="5"/>
  <c r="H67" i="5"/>
  <c r="N66" i="5"/>
  <c r="O66" i="5" s="1"/>
  <c r="L66" i="5"/>
  <c r="K66" i="5"/>
  <c r="J66" i="5"/>
  <c r="I66" i="5"/>
  <c r="H66" i="5"/>
  <c r="N65" i="5"/>
  <c r="L65" i="5"/>
  <c r="K65" i="5"/>
  <c r="J65" i="5"/>
  <c r="I65" i="5"/>
  <c r="H65" i="5"/>
  <c r="N64" i="5"/>
  <c r="L64" i="5"/>
  <c r="K64" i="5"/>
  <c r="J64" i="5"/>
  <c r="I64" i="5"/>
  <c r="H64" i="5"/>
  <c r="N63" i="5"/>
  <c r="L63" i="5"/>
  <c r="K63" i="5"/>
  <c r="J63" i="5"/>
  <c r="I63" i="5"/>
  <c r="H63" i="5"/>
  <c r="N62" i="5"/>
  <c r="O62" i="5" s="1"/>
  <c r="L62" i="5"/>
  <c r="K62" i="5"/>
  <c r="J62" i="5"/>
  <c r="I62" i="5"/>
  <c r="H62" i="5"/>
  <c r="N61" i="5"/>
  <c r="L61" i="5"/>
  <c r="K61" i="5"/>
  <c r="J61" i="5"/>
  <c r="I61" i="5"/>
  <c r="H61" i="5"/>
  <c r="N60" i="5"/>
  <c r="O60" i="5" s="1"/>
  <c r="L60" i="5"/>
  <c r="K60" i="5"/>
  <c r="J60" i="5"/>
  <c r="I60" i="5"/>
  <c r="H60" i="5"/>
  <c r="N59" i="5"/>
  <c r="L59" i="5"/>
  <c r="K59" i="5"/>
  <c r="J59" i="5"/>
  <c r="I59" i="5"/>
  <c r="H59" i="5"/>
  <c r="N58" i="5"/>
  <c r="O58" i="5" s="1"/>
  <c r="L58" i="5"/>
  <c r="K58" i="5"/>
  <c r="J58" i="5"/>
  <c r="I58" i="5"/>
  <c r="H58" i="5"/>
  <c r="N57" i="5"/>
  <c r="L57" i="5"/>
  <c r="K57" i="5"/>
  <c r="J57" i="5"/>
  <c r="I57" i="5"/>
  <c r="H57" i="5"/>
  <c r="N56" i="5"/>
  <c r="L56" i="5"/>
  <c r="K56" i="5"/>
  <c r="J56" i="5"/>
  <c r="I56" i="5"/>
  <c r="H56" i="5"/>
  <c r="N55" i="5"/>
  <c r="O55" i="5" s="1"/>
  <c r="L55" i="5"/>
  <c r="K55" i="5"/>
  <c r="J55" i="5"/>
  <c r="I55" i="5"/>
  <c r="H55" i="5"/>
  <c r="N54" i="5"/>
  <c r="O54" i="5" s="1"/>
  <c r="L54" i="5"/>
  <c r="K54" i="5"/>
  <c r="J54" i="5"/>
  <c r="I54" i="5"/>
  <c r="H54" i="5"/>
  <c r="N53" i="5"/>
  <c r="L53" i="5"/>
  <c r="K53" i="5"/>
  <c r="J53" i="5"/>
  <c r="I53" i="5"/>
  <c r="H53" i="5"/>
  <c r="N52" i="5"/>
  <c r="O52" i="5" s="1"/>
  <c r="L52" i="5"/>
  <c r="K52" i="5"/>
  <c r="J52" i="5"/>
  <c r="I52" i="5"/>
  <c r="H52" i="5"/>
  <c r="N51" i="5"/>
  <c r="L51" i="5"/>
  <c r="K51" i="5"/>
  <c r="J51" i="5"/>
  <c r="I51" i="5"/>
  <c r="H51" i="5"/>
  <c r="N50" i="5"/>
  <c r="O50" i="5" s="1"/>
  <c r="L50" i="5"/>
  <c r="K50" i="5"/>
  <c r="J50" i="5"/>
  <c r="I50" i="5"/>
  <c r="H50" i="5"/>
  <c r="N49" i="5"/>
  <c r="L49" i="5"/>
  <c r="K49" i="5"/>
  <c r="J49" i="5"/>
  <c r="I49" i="5"/>
  <c r="H49" i="5"/>
  <c r="N48" i="5"/>
  <c r="L48" i="5"/>
  <c r="K48" i="5"/>
  <c r="J48" i="5"/>
  <c r="I48" i="5"/>
  <c r="H48" i="5"/>
  <c r="N47" i="5"/>
  <c r="L47" i="5"/>
  <c r="K47" i="5"/>
  <c r="J47" i="5"/>
  <c r="I47" i="5"/>
  <c r="H47" i="5"/>
  <c r="N46" i="5"/>
  <c r="O46" i="5" s="1"/>
  <c r="L46" i="5"/>
  <c r="K46" i="5"/>
  <c r="J46" i="5"/>
  <c r="I46" i="5"/>
  <c r="H46" i="5"/>
  <c r="N45" i="5"/>
  <c r="L45" i="5"/>
  <c r="K45" i="5"/>
  <c r="J45" i="5"/>
  <c r="I45" i="5"/>
  <c r="H45" i="5"/>
  <c r="N44" i="5"/>
  <c r="O44" i="5" s="1"/>
  <c r="L44" i="5"/>
  <c r="K44" i="5"/>
  <c r="J44" i="5"/>
  <c r="I44" i="5"/>
  <c r="H44" i="5"/>
  <c r="N43" i="5"/>
  <c r="L43" i="5"/>
  <c r="K43" i="5"/>
  <c r="J43" i="5"/>
  <c r="I43" i="5"/>
  <c r="H43" i="5"/>
  <c r="N42" i="5"/>
  <c r="L42" i="5"/>
  <c r="K42" i="5"/>
  <c r="J42" i="5"/>
  <c r="I42" i="5"/>
  <c r="H42" i="5"/>
  <c r="N41" i="5"/>
  <c r="L41" i="5"/>
  <c r="K41" i="5"/>
  <c r="J41" i="5"/>
  <c r="I41" i="5"/>
  <c r="H41" i="5"/>
  <c r="N40" i="5"/>
  <c r="L40" i="5"/>
  <c r="K40" i="5"/>
  <c r="J40" i="5"/>
  <c r="I40" i="5"/>
  <c r="H40" i="5"/>
  <c r="N39" i="5"/>
  <c r="O39" i="5" s="1"/>
  <c r="L39" i="5"/>
  <c r="K39" i="5"/>
  <c r="J39" i="5"/>
  <c r="I39" i="5"/>
  <c r="H39" i="5"/>
  <c r="N38" i="5"/>
  <c r="L38" i="5"/>
  <c r="K38" i="5"/>
  <c r="J38" i="5"/>
  <c r="I38" i="5"/>
  <c r="H38" i="5"/>
  <c r="N37" i="5"/>
  <c r="L37" i="5"/>
  <c r="K37" i="5"/>
  <c r="J37" i="5"/>
  <c r="I37" i="5"/>
  <c r="H37" i="5"/>
  <c r="N36" i="5"/>
  <c r="L36" i="5"/>
  <c r="K36" i="5"/>
  <c r="J36" i="5"/>
  <c r="I36" i="5"/>
  <c r="H36" i="5"/>
  <c r="N35" i="5"/>
  <c r="O35" i="5" s="1"/>
  <c r="L35" i="5"/>
  <c r="K35" i="5"/>
  <c r="J35" i="5"/>
  <c r="I35" i="5"/>
  <c r="H35" i="5"/>
  <c r="N34" i="5"/>
  <c r="O34" i="5" s="1"/>
  <c r="L34" i="5"/>
  <c r="K34" i="5"/>
  <c r="J34" i="5"/>
  <c r="I34" i="5"/>
  <c r="H34" i="5"/>
  <c r="N33" i="5"/>
  <c r="L33" i="5"/>
  <c r="K33" i="5"/>
  <c r="J33" i="5"/>
  <c r="I33" i="5"/>
  <c r="H33" i="5"/>
  <c r="N32" i="5"/>
  <c r="L32" i="5"/>
  <c r="K32" i="5"/>
  <c r="J32" i="5"/>
  <c r="I32" i="5"/>
  <c r="H32" i="5"/>
  <c r="N31" i="5"/>
  <c r="L31" i="5"/>
  <c r="K31" i="5"/>
  <c r="J31" i="5"/>
  <c r="I31" i="5"/>
  <c r="H31" i="5"/>
  <c r="N30" i="5"/>
  <c r="L30" i="5"/>
  <c r="K30" i="5"/>
  <c r="J30" i="5"/>
  <c r="I30" i="5"/>
  <c r="H30" i="5"/>
  <c r="N29" i="5"/>
  <c r="L29" i="5"/>
  <c r="K29" i="5"/>
  <c r="J29" i="5"/>
  <c r="I29" i="5"/>
  <c r="H29" i="5"/>
  <c r="N28" i="5"/>
  <c r="L28" i="5"/>
  <c r="K28" i="5"/>
  <c r="J28" i="5"/>
  <c r="I28" i="5"/>
  <c r="H28" i="5"/>
  <c r="N27" i="5"/>
  <c r="L27" i="5"/>
  <c r="K27" i="5"/>
  <c r="J27" i="5"/>
  <c r="I27" i="5"/>
  <c r="H27" i="5"/>
  <c r="N26" i="5"/>
  <c r="L26" i="5"/>
  <c r="K26" i="5"/>
  <c r="J26" i="5"/>
  <c r="I26" i="5"/>
  <c r="H26" i="5"/>
  <c r="N25" i="5"/>
  <c r="L25" i="5"/>
  <c r="K25" i="5"/>
  <c r="J25" i="5"/>
  <c r="I25" i="5"/>
  <c r="H25" i="5"/>
  <c r="N24" i="5"/>
  <c r="L24" i="5"/>
  <c r="K24" i="5"/>
  <c r="J24" i="5"/>
  <c r="I24" i="5"/>
  <c r="H24" i="5"/>
  <c r="N23" i="5"/>
  <c r="L23" i="5"/>
  <c r="K23" i="5"/>
  <c r="J23" i="5"/>
  <c r="I23" i="5"/>
  <c r="H23" i="5"/>
  <c r="N22" i="5"/>
  <c r="L22" i="5"/>
  <c r="K22" i="5"/>
  <c r="J22" i="5"/>
  <c r="I22" i="5"/>
  <c r="H22" i="5"/>
  <c r="N21" i="5"/>
  <c r="L21" i="5"/>
  <c r="K21" i="5"/>
  <c r="J21" i="5"/>
  <c r="I21" i="5"/>
  <c r="H21" i="5"/>
  <c r="N20" i="5"/>
  <c r="L20" i="5"/>
  <c r="K20" i="5"/>
  <c r="J20" i="5"/>
  <c r="I20" i="5"/>
  <c r="H20" i="5"/>
  <c r="N19" i="5"/>
  <c r="L19" i="5"/>
  <c r="K19" i="5"/>
  <c r="J19" i="5"/>
  <c r="I19" i="5"/>
  <c r="H19" i="5"/>
  <c r="N18" i="5"/>
  <c r="O18" i="5" s="1"/>
  <c r="L18" i="5"/>
  <c r="K18" i="5"/>
  <c r="J18" i="5"/>
  <c r="I18" i="5"/>
  <c r="H18" i="5"/>
  <c r="N17" i="5"/>
  <c r="L17" i="5"/>
  <c r="K17" i="5"/>
  <c r="J17" i="5"/>
  <c r="I17" i="5"/>
  <c r="H17" i="5"/>
  <c r="N16" i="5"/>
  <c r="O16" i="5" s="1"/>
  <c r="L16" i="5"/>
  <c r="K16" i="5"/>
  <c r="J16" i="5"/>
  <c r="I16" i="5"/>
  <c r="H16" i="5"/>
  <c r="N15" i="5"/>
  <c r="L15" i="5"/>
  <c r="K15" i="5"/>
  <c r="J15" i="5"/>
  <c r="I15" i="5"/>
  <c r="H15" i="5"/>
  <c r="N14" i="5"/>
  <c r="O14" i="5" s="1"/>
  <c r="L14" i="5"/>
  <c r="K14" i="5"/>
  <c r="J14" i="5"/>
  <c r="I14" i="5"/>
  <c r="H14" i="5"/>
  <c r="N13" i="5"/>
  <c r="L13" i="5"/>
  <c r="K13" i="5"/>
  <c r="J13" i="5"/>
  <c r="I13" i="5"/>
  <c r="H13" i="5"/>
  <c r="N12" i="5"/>
  <c r="L12" i="5"/>
  <c r="K12" i="5"/>
  <c r="J12" i="5"/>
  <c r="I12" i="5"/>
  <c r="H12" i="5"/>
  <c r="N11" i="5"/>
  <c r="L11" i="5"/>
  <c r="K11" i="5"/>
  <c r="J11" i="5"/>
  <c r="I11" i="5"/>
  <c r="H11" i="5"/>
  <c r="N10" i="5"/>
  <c r="O10" i="5" s="1"/>
  <c r="L10" i="5"/>
  <c r="K10" i="5"/>
  <c r="J10" i="5"/>
  <c r="I10" i="5"/>
  <c r="H10" i="5"/>
  <c r="N9" i="5"/>
  <c r="O9" i="5" s="1"/>
  <c r="L9" i="5"/>
  <c r="K9" i="5"/>
  <c r="J9" i="5"/>
  <c r="I9" i="5"/>
  <c r="H9" i="5"/>
  <c r="N8" i="5"/>
  <c r="O8" i="5" s="1"/>
  <c r="L8" i="5"/>
  <c r="K8" i="5"/>
  <c r="J8" i="5"/>
  <c r="I8" i="5"/>
  <c r="H8" i="5"/>
  <c r="N7" i="5"/>
  <c r="L7" i="5"/>
  <c r="K7" i="5"/>
  <c r="J7" i="5"/>
  <c r="I7" i="5"/>
  <c r="H7" i="5"/>
  <c r="N6" i="5"/>
  <c r="O6" i="5" s="1"/>
  <c r="L6" i="5"/>
  <c r="K6" i="5"/>
  <c r="J6" i="5"/>
  <c r="I6" i="5"/>
  <c r="H6" i="5"/>
  <c r="N5" i="5"/>
  <c r="L5" i="5"/>
  <c r="K5" i="5"/>
  <c r="J5" i="5"/>
  <c r="I5" i="5"/>
  <c r="H5" i="5"/>
  <c r="N4" i="5"/>
  <c r="L4" i="5"/>
  <c r="K4" i="5"/>
  <c r="J4" i="5"/>
  <c r="I4" i="5"/>
  <c r="H4" i="5"/>
  <c r="O128" i="4"/>
  <c r="P128" i="4" s="1"/>
  <c r="M128" i="4"/>
  <c r="L128" i="4"/>
  <c r="K128" i="4"/>
  <c r="J128" i="4"/>
  <c r="I128" i="4"/>
  <c r="H128" i="4"/>
  <c r="O127" i="4"/>
  <c r="P127" i="4" s="1"/>
  <c r="M127" i="4"/>
  <c r="L127" i="4"/>
  <c r="K127" i="4"/>
  <c r="J127" i="4"/>
  <c r="I127" i="4"/>
  <c r="H127" i="4"/>
  <c r="O126" i="4"/>
  <c r="P126" i="4" s="1"/>
  <c r="M126" i="4"/>
  <c r="L126" i="4"/>
  <c r="K126" i="4"/>
  <c r="J126" i="4"/>
  <c r="I126" i="4"/>
  <c r="H126" i="4"/>
  <c r="O125" i="4"/>
  <c r="M125" i="4"/>
  <c r="L125" i="4"/>
  <c r="K125" i="4"/>
  <c r="J125" i="4"/>
  <c r="I125" i="4"/>
  <c r="H125" i="4"/>
  <c r="O124" i="4"/>
  <c r="P124" i="4" s="1"/>
  <c r="M124" i="4"/>
  <c r="L124" i="4"/>
  <c r="K124" i="4"/>
  <c r="J124" i="4"/>
  <c r="I124" i="4"/>
  <c r="H124" i="4"/>
  <c r="O123" i="4"/>
  <c r="P123" i="4" s="1"/>
  <c r="M123" i="4"/>
  <c r="L123" i="4"/>
  <c r="K123" i="4"/>
  <c r="J123" i="4"/>
  <c r="I123" i="4"/>
  <c r="H123" i="4"/>
  <c r="O122" i="4"/>
  <c r="P122" i="4" s="1"/>
  <c r="M122" i="4"/>
  <c r="L122" i="4"/>
  <c r="K122" i="4"/>
  <c r="J122" i="4"/>
  <c r="I122" i="4"/>
  <c r="H122" i="4"/>
  <c r="O121" i="4"/>
  <c r="M121" i="4"/>
  <c r="L121" i="4"/>
  <c r="K121" i="4"/>
  <c r="J121" i="4"/>
  <c r="I121" i="4"/>
  <c r="H121" i="4"/>
  <c r="O120" i="4"/>
  <c r="P120" i="4" s="1"/>
  <c r="M120" i="4"/>
  <c r="L120" i="4"/>
  <c r="K120" i="4"/>
  <c r="J120" i="4"/>
  <c r="I120" i="4"/>
  <c r="H120" i="4"/>
  <c r="O119" i="4"/>
  <c r="P119" i="4" s="1"/>
  <c r="M119" i="4"/>
  <c r="L119" i="4"/>
  <c r="K119" i="4"/>
  <c r="J119" i="4"/>
  <c r="I119" i="4"/>
  <c r="H119" i="4"/>
  <c r="O118" i="4"/>
  <c r="P118" i="4" s="1"/>
  <c r="M118" i="4"/>
  <c r="L118" i="4"/>
  <c r="K118" i="4"/>
  <c r="J118" i="4"/>
  <c r="I118" i="4"/>
  <c r="H118" i="4"/>
  <c r="O117" i="4"/>
  <c r="M117" i="4"/>
  <c r="L117" i="4"/>
  <c r="K117" i="4"/>
  <c r="J117" i="4"/>
  <c r="I117" i="4"/>
  <c r="H117" i="4"/>
  <c r="O116" i="4"/>
  <c r="P116" i="4" s="1"/>
  <c r="M116" i="4"/>
  <c r="L116" i="4"/>
  <c r="K116" i="4"/>
  <c r="J116" i="4"/>
  <c r="I116" i="4"/>
  <c r="H116" i="4"/>
  <c r="O115" i="4"/>
  <c r="P115" i="4" s="1"/>
  <c r="M115" i="4"/>
  <c r="L115" i="4"/>
  <c r="K115" i="4"/>
  <c r="J115" i="4"/>
  <c r="I115" i="4"/>
  <c r="H115" i="4"/>
  <c r="O114" i="4"/>
  <c r="P114" i="4" s="1"/>
  <c r="M114" i="4"/>
  <c r="L114" i="4"/>
  <c r="K114" i="4"/>
  <c r="J114" i="4"/>
  <c r="I114" i="4"/>
  <c r="H114" i="4"/>
  <c r="O113" i="4"/>
  <c r="M113" i="4"/>
  <c r="L113" i="4"/>
  <c r="K113" i="4"/>
  <c r="J113" i="4"/>
  <c r="I113" i="4"/>
  <c r="H113" i="4"/>
  <c r="O112" i="4"/>
  <c r="P112" i="4" s="1"/>
  <c r="M112" i="4"/>
  <c r="L112" i="4"/>
  <c r="K112" i="4"/>
  <c r="J112" i="4"/>
  <c r="I112" i="4"/>
  <c r="H112" i="4"/>
  <c r="O111" i="4"/>
  <c r="P111" i="4" s="1"/>
  <c r="M111" i="4"/>
  <c r="L111" i="4"/>
  <c r="K111" i="4"/>
  <c r="J111" i="4"/>
  <c r="I111" i="4"/>
  <c r="H111" i="4"/>
  <c r="O110" i="4"/>
  <c r="P110" i="4" s="1"/>
  <c r="M110" i="4"/>
  <c r="L110" i="4"/>
  <c r="K110" i="4"/>
  <c r="J110" i="4"/>
  <c r="I110" i="4"/>
  <c r="H110" i="4"/>
  <c r="O109" i="4"/>
  <c r="M109" i="4"/>
  <c r="L109" i="4"/>
  <c r="K109" i="4"/>
  <c r="J109" i="4"/>
  <c r="I109" i="4"/>
  <c r="H109" i="4"/>
  <c r="O108" i="4"/>
  <c r="P108" i="4" s="1"/>
  <c r="M108" i="4"/>
  <c r="L108" i="4"/>
  <c r="K108" i="4"/>
  <c r="J108" i="4"/>
  <c r="I108" i="4"/>
  <c r="H108" i="4"/>
  <c r="O107" i="4"/>
  <c r="P107" i="4" s="1"/>
  <c r="M107" i="4"/>
  <c r="L107" i="4"/>
  <c r="K107" i="4"/>
  <c r="J107" i="4"/>
  <c r="I107" i="4"/>
  <c r="H107" i="4"/>
  <c r="O106" i="4"/>
  <c r="P106" i="4" s="1"/>
  <c r="M106" i="4"/>
  <c r="L106" i="4"/>
  <c r="K106" i="4"/>
  <c r="J106" i="4"/>
  <c r="I106" i="4"/>
  <c r="H106" i="4"/>
  <c r="O105" i="4"/>
  <c r="M105" i="4"/>
  <c r="L105" i="4"/>
  <c r="K105" i="4"/>
  <c r="J105" i="4"/>
  <c r="I105" i="4"/>
  <c r="H105" i="4"/>
  <c r="O104" i="4"/>
  <c r="P104" i="4" s="1"/>
  <c r="M104" i="4"/>
  <c r="L104" i="4"/>
  <c r="K104" i="4"/>
  <c r="J104" i="4"/>
  <c r="I104" i="4"/>
  <c r="H104" i="4"/>
  <c r="O103" i="4"/>
  <c r="P103" i="4" s="1"/>
  <c r="M103" i="4"/>
  <c r="L103" i="4"/>
  <c r="K103" i="4"/>
  <c r="J103" i="4"/>
  <c r="I103" i="4"/>
  <c r="H103" i="4"/>
  <c r="O102" i="4"/>
  <c r="P102" i="4" s="1"/>
  <c r="M102" i="4"/>
  <c r="L102" i="4"/>
  <c r="K102" i="4"/>
  <c r="J102" i="4"/>
  <c r="I102" i="4"/>
  <c r="H102" i="4"/>
  <c r="O101" i="4"/>
  <c r="M101" i="4"/>
  <c r="L101" i="4"/>
  <c r="K101" i="4"/>
  <c r="J101" i="4"/>
  <c r="I101" i="4"/>
  <c r="H101" i="4"/>
  <c r="O100" i="4"/>
  <c r="P100" i="4" s="1"/>
  <c r="M100" i="4"/>
  <c r="L100" i="4"/>
  <c r="K100" i="4"/>
  <c r="J100" i="4"/>
  <c r="I100" i="4"/>
  <c r="H100" i="4"/>
  <c r="O99" i="4"/>
  <c r="P99" i="4" s="1"/>
  <c r="M99" i="4"/>
  <c r="L99" i="4"/>
  <c r="K99" i="4"/>
  <c r="J99" i="4"/>
  <c r="I99" i="4"/>
  <c r="H99" i="4"/>
  <c r="O98" i="4"/>
  <c r="P98" i="4" s="1"/>
  <c r="M98" i="4"/>
  <c r="L98" i="4"/>
  <c r="K98" i="4"/>
  <c r="J98" i="4"/>
  <c r="I98" i="4"/>
  <c r="H98" i="4"/>
  <c r="O97" i="4"/>
  <c r="M97" i="4"/>
  <c r="L97" i="4"/>
  <c r="K97" i="4"/>
  <c r="J97" i="4"/>
  <c r="I97" i="4"/>
  <c r="H97" i="4"/>
  <c r="O96" i="4"/>
  <c r="P96" i="4" s="1"/>
  <c r="M96" i="4"/>
  <c r="L96" i="4"/>
  <c r="K96" i="4"/>
  <c r="J96" i="4"/>
  <c r="I96" i="4"/>
  <c r="H96" i="4"/>
  <c r="O95" i="4"/>
  <c r="P95" i="4" s="1"/>
  <c r="M95" i="4"/>
  <c r="L95" i="4"/>
  <c r="K95" i="4"/>
  <c r="J95" i="4"/>
  <c r="I95" i="4"/>
  <c r="H95" i="4"/>
  <c r="O94" i="4"/>
  <c r="P94" i="4" s="1"/>
  <c r="M94" i="4"/>
  <c r="L94" i="4"/>
  <c r="K94" i="4"/>
  <c r="J94" i="4"/>
  <c r="I94" i="4"/>
  <c r="H94" i="4"/>
  <c r="O93" i="4"/>
  <c r="M93" i="4"/>
  <c r="L93" i="4"/>
  <c r="K93" i="4"/>
  <c r="J93" i="4"/>
  <c r="I93" i="4"/>
  <c r="H93" i="4"/>
  <c r="O92" i="4"/>
  <c r="P92" i="4" s="1"/>
  <c r="M92" i="4"/>
  <c r="L92" i="4"/>
  <c r="K92" i="4"/>
  <c r="J92" i="4"/>
  <c r="I92" i="4"/>
  <c r="H92" i="4"/>
  <c r="O91" i="4"/>
  <c r="P91" i="4" s="1"/>
  <c r="M91" i="4"/>
  <c r="L91" i="4"/>
  <c r="K91" i="4"/>
  <c r="J91" i="4"/>
  <c r="I91" i="4"/>
  <c r="H91" i="4"/>
  <c r="O90" i="4"/>
  <c r="P90" i="4" s="1"/>
  <c r="M90" i="4"/>
  <c r="L90" i="4"/>
  <c r="K90" i="4"/>
  <c r="J90" i="4"/>
  <c r="I90" i="4"/>
  <c r="H90" i="4"/>
  <c r="O89" i="4"/>
  <c r="M89" i="4"/>
  <c r="L89" i="4"/>
  <c r="K89" i="4"/>
  <c r="J89" i="4"/>
  <c r="I89" i="4"/>
  <c r="H89" i="4"/>
  <c r="O88" i="4"/>
  <c r="P88" i="4" s="1"/>
  <c r="M88" i="4"/>
  <c r="L88" i="4"/>
  <c r="K88" i="4"/>
  <c r="J88" i="4"/>
  <c r="I88" i="4"/>
  <c r="H88" i="4"/>
  <c r="O87" i="4"/>
  <c r="P87" i="4" s="1"/>
  <c r="M87" i="4"/>
  <c r="L87" i="4"/>
  <c r="K87" i="4"/>
  <c r="J87" i="4"/>
  <c r="I87" i="4"/>
  <c r="H87" i="4"/>
  <c r="O86" i="4"/>
  <c r="P86" i="4" s="1"/>
  <c r="M86" i="4"/>
  <c r="L86" i="4"/>
  <c r="K86" i="4"/>
  <c r="J86" i="4"/>
  <c r="I86" i="4"/>
  <c r="H86" i="4"/>
  <c r="O85" i="4"/>
  <c r="M85" i="4"/>
  <c r="L85" i="4"/>
  <c r="K85" i="4"/>
  <c r="J85" i="4"/>
  <c r="I85" i="4"/>
  <c r="H85" i="4"/>
  <c r="O84" i="4"/>
  <c r="P84" i="4" s="1"/>
  <c r="M84" i="4"/>
  <c r="L84" i="4"/>
  <c r="K84" i="4"/>
  <c r="J84" i="4"/>
  <c r="I84" i="4"/>
  <c r="H84" i="4"/>
  <c r="O83" i="4"/>
  <c r="P83" i="4" s="1"/>
  <c r="M83" i="4"/>
  <c r="L83" i="4"/>
  <c r="K83" i="4"/>
  <c r="J83" i="4"/>
  <c r="I83" i="4"/>
  <c r="H83" i="4"/>
  <c r="O82" i="4"/>
  <c r="P82" i="4" s="1"/>
  <c r="M82" i="4"/>
  <c r="L82" i="4"/>
  <c r="K82" i="4"/>
  <c r="J82" i="4"/>
  <c r="I82" i="4"/>
  <c r="H82" i="4"/>
  <c r="O81" i="4"/>
  <c r="M81" i="4"/>
  <c r="L81" i="4"/>
  <c r="K81" i="4"/>
  <c r="J81" i="4"/>
  <c r="I81" i="4"/>
  <c r="H81" i="4"/>
  <c r="O80" i="4"/>
  <c r="P80" i="4" s="1"/>
  <c r="M80" i="4"/>
  <c r="L80" i="4"/>
  <c r="K80" i="4"/>
  <c r="J80" i="4"/>
  <c r="I80" i="4"/>
  <c r="H80" i="4"/>
  <c r="O79" i="4"/>
  <c r="P79" i="4" s="1"/>
  <c r="M79" i="4"/>
  <c r="L79" i="4"/>
  <c r="K79" i="4"/>
  <c r="J79" i="4"/>
  <c r="I79" i="4"/>
  <c r="H79" i="4"/>
  <c r="O78" i="4"/>
  <c r="P78" i="4" s="1"/>
  <c r="M78" i="4"/>
  <c r="L78" i="4"/>
  <c r="K78" i="4"/>
  <c r="J78" i="4"/>
  <c r="I78" i="4"/>
  <c r="H78" i="4"/>
  <c r="O77" i="4"/>
  <c r="M77" i="4"/>
  <c r="L77" i="4"/>
  <c r="K77" i="4"/>
  <c r="J77" i="4"/>
  <c r="I77" i="4"/>
  <c r="H77" i="4"/>
  <c r="O76" i="4"/>
  <c r="P76" i="4" s="1"/>
  <c r="M76" i="4"/>
  <c r="L76" i="4"/>
  <c r="K76" i="4"/>
  <c r="J76" i="4"/>
  <c r="I76" i="4"/>
  <c r="H76" i="4"/>
  <c r="O75" i="4"/>
  <c r="P75" i="4" s="1"/>
  <c r="M75" i="4"/>
  <c r="L75" i="4"/>
  <c r="K75" i="4"/>
  <c r="J75" i="4"/>
  <c r="I75" i="4"/>
  <c r="H75" i="4"/>
  <c r="O74" i="4"/>
  <c r="P74" i="4" s="1"/>
  <c r="M74" i="4"/>
  <c r="L74" i="4"/>
  <c r="K74" i="4"/>
  <c r="J74" i="4"/>
  <c r="I74" i="4"/>
  <c r="H74" i="4"/>
  <c r="O73" i="4"/>
  <c r="M73" i="4"/>
  <c r="L73" i="4"/>
  <c r="K73" i="4"/>
  <c r="J73" i="4"/>
  <c r="I73" i="4"/>
  <c r="H73" i="4"/>
  <c r="O72" i="4"/>
  <c r="P72" i="4" s="1"/>
  <c r="M72" i="4"/>
  <c r="L72" i="4"/>
  <c r="K72" i="4"/>
  <c r="J72" i="4"/>
  <c r="I72" i="4"/>
  <c r="H72" i="4"/>
  <c r="O71" i="4"/>
  <c r="P71" i="4" s="1"/>
  <c r="M71" i="4"/>
  <c r="L71" i="4"/>
  <c r="K71" i="4"/>
  <c r="J71" i="4"/>
  <c r="I71" i="4"/>
  <c r="H71" i="4"/>
  <c r="O70" i="4"/>
  <c r="P70" i="4" s="1"/>
  <c r="M70" i="4"/>
  <c r="L70" i="4"/>
  <c r="K70" i="4"/>
  <c r="J70" i="4"/>
  <c r="I70" i="4"/>
  <c r="H70" i="4"/>
  <c r="O69" i="4"/>
  <c r="M69" i="4"/>
  <c r="L69" i="4"/>
  <c r="K69" i="4"/>
  <c r="J69" i="4"/>
  <c r="I69" i="4"/>
  <c r="H69" i="4"/>
  <c r="O68" i="4"/>
  <c r="P68" i="4" s="1"/>
  <c r="M68" i="4"/>
  <c r="L68" i="4"/>
  <c r="K68" i="4"/>
  <c r="J68" i="4"/>
  <c r="I68" i="4"/>
  <c r="H68" i="4"/>
  <c r="O67" i="4"/>
  <c r="P67" i="4" s="1"/>
  <c r="M67" i="4"/>
  <c r="L67" i="4"/>
  <c r="K67" i="4"/>
  <c r="J67" i="4"/>
  <c r="I67" i="4"/>
  <c r="H67" i="4"/>
  <c r="O66" i="4"/>
  <c r="P66" i="4" s="1"/>
  <c r="M66" i="4"/>
  <c r="L66" i="4"/>
  <c r="K66" i="4"/>
  <c r="J66" i="4"/>
  <c r="I66" i="4"/>
  <c r="H66" i="4"/>
  <c r="O65" i="4"/>
  <c r="M65" i="4"/>
  <c r="L65" i="4"/>
  <c r="K65" i="4"/>
  <c r="J65" i="4"/>
  <c r="I65" i="4"/>
  <c r="H65" i="4"/>
  <c r="O64" i="4"/>
  <c r="P64" i="4" s="1"/>
  <c r="M64" i="4"/>
  <c r="L64" i="4"/>
  <c r="K64" i="4"/>
  <c r="J64" i="4"/>
  <c r="I64" i="4"/>
  <c r="H64" i="4"/>
  <c r="O63" i="4"/>
  <c r="P63" i="4" s="1"/>
  <c r="M63" i="4"/>
  <c r="L63" i="4"/>
  <c r="K63" i="4"/>
  <c r="J63" i="4"/>
  <c r="I63" i="4"/>
  <c r="H63" i="4"/>
  <c r="O62" i="4"/>
  <c r="P62" i="4" s="1"/>
  <c r="M62" i="4"/>
  <c r="L62" i="4"/>
  <c r="K62" i="4"/>
  <c r="J62" i="4"/>
  <c r="I62" i="4"/>
  <c r="H62" i="4"/>
  <c r="O61" i="4"/>
  <c r="M61" i="4"/>
  <c r="L61" i="4"/>
  <c r="K61" i="4"/>
  <c r="J61" i="4"/>
  <c r="I61" i="4"/>
  <c r="H61" i="4"/>
  <c r="O60" i="4"/>
  <c r="P60" i="4" s="1"/>
  <c r="M60" i="4"/>
  <c r="L60" i="4"/>
  <c r="K60" i="4"/>
  <c r="J60" i="4"/>
  <c r="I60" i="4"/>
  <c r="H60" i="4"/>
  <c r="O59" i="4"/>
  <c r="P59" i="4" s="1"/>
  <c r="M59" i="4"/>
  <c r="L59" i="4"/>
  <c r="K59" i="4"/>
  <c r="J59" i="4"/>
  <c r="I59" i="4"/>
  <c r="H59" i="4"/>
  <c r="O58" i="4"/>
  <c r="P58" i="4" s="1"/>
  <c r="M58" i="4"/>
  <c r="L58" i="4"/>
  <c r="K58" i="4"/>
  <c r="J58" i="4"/>
  <c r="I58" i="4"/>
  <c r="H58" i="4"/>
  <c r="O57" i="4"/>
  <c r="M57" i="4"/>
  <c r="L57" i="4"/>
  <c r="K57" i="4"/>
  <c r="J57" i="4"/>
  <c r="I57" i="4"/>
  <c r="H57" i="4"/>
  <c r="O56" i="4"/>
  <c r="P56" i="4" s="1"/>
  <c r="M56" i="4"/>
  <c r="L56" i="4"/>
  <c r="K56" i="4"/>
  <c r="J56" i="4"/>
  <c r="I56" i="4"/>
  <c r="H56" i="4"/>
  <c r="O55" i="4"/>
  <c r="P55" i="4" s="1"/>
  <c r="M55" i="4"/>
  <c r="L55" i="4"/>
  <c r="K55" i="4"/>
  <c r="J55" i="4"/>
  <c r="I55" i="4"/>
  <c r="H55" i="4"/>
  <c r="O54" i="4"/>
  <c r="P54" i="4" s="1"/>
  <c r="M54" i="4"/>
  <c r="L54" i="4"/>
  <c r="K54" i="4"/>
  <c r="J54" i="4"/>
  <c r="I54" i="4"/>
  <c r="H54" i="4"/>
  <c r="O53" i="4"/>
  <c r="M53" i="4"/>
  <c r="L53" i="4"/>
  <c r="K53" i="4"/>
  <c r="J53" i="4"/>
  <c r="I53" i="4"/>
  <c r="H53" i="4"/>
  <c r="O52" i="4"/>
  <c r="P52" i="4" s="1"/>
  <c r="M52" i="4"/>
  <c r="L52" i="4"/>
  <c r="K52" i="4"/>
  <c r="J52" i="4"/>
  <c r="I52" i="4"/>
  <c r="H52" i="4"/>
  <c r="O51" i="4"/>
  <c r="P51" i="4" s="1"/>
  <c r="M51" i="4"/>
  <c r="L51" i="4"/>
  <c r="K51" i="4"/>
  <c r="J51" i="4"/>
  <c r="I51" i="4"/>
  <c r="H51" i="4"/>
  <c r="O50" i="4"/>
  <c r="P50" i="4" s="1"/>
  <c r="M50" i="4"/>
  <c r="L50" i="4"/>
  <c r="K50" i="4"/>
  <c r="J50" i="4"/>
  <c r="I50" i="4"/>
  <c r="H50" i="4"/>
  <c r="O49" i="4"/>
  <c r="M49" i="4"/>
  <c r="L49" i="4"/>
  <c r="K49" i="4"/>
  <c r="J49" i="4"/>
  <c r="I49" i="4"/>
  <c r="H49" i="4"/>
  <c r="O48" i="4"/>
  <c r="P48" i="4" s="1"/>
  <c r="M48" i="4"/>
  <c r="L48" i="4"/>
  <c r="K48" i="4"/>
  <c r="J48" i="4"/>
  <c r="I48" i="4"/>
  <c r="H48" i="4"/>
  <c r="O47" i="4"/>
  <c r="P47" i="4" s="1"/>
  <c r="M47" i="4"/>
  <c r="L47" i="4"/>
  <c r="K47" i="4"/>
  <c r="J47" i="4"/>
  <c r="I47" i="4"/>
  <c r="H47" i="4"/>
  <c r="O46" i="4"/>
  <c r="P46" i="4" s="1"/>
  <c r="M46" i="4"/>
  <c r="L46" i="4"/>
  <c r="K46" i="4"/>
  <c r="J46" i="4"/>
  <c r="I46" i="4"/>
  <c r="H46" i="4"/>
  <c r="O45" i="4"/>
  <c r="M45" i="4"/>
  <c r="L45" i="4"/>
  <c r="K45" i="4"/>
  <c r="J45" i="4"/>
  <c r="I45" i="4"/>
  <c r="H45" i="4"/>
  <c r="O44" i="4"/>
  <c r="P44" i="4" s="1"/>
  <c r="M44" i="4"/>
  <c r="L44" i="4"/>
  <c r="K44" i="4"/>
  <c r="J44" i="4"/>
  <c r="I44" i="4"/>
  <c r="H44" i="4"/>
  <c r="O43" i="4"/>
  <c r="P43" i="4" s="1"/>
  <c r="M43" i="4"/>
  <c r="L43" i="4"/>
  <c r="K43" i="4"/>
  <c r="J43" i="4"/>
  <c r="I43" i="4"/>
  <c r="H43" i="4"/>
  <c r="O42" i="4"/>
  <c r="P42" i="4" s="1"/>
  <c r="M42" i="4"/>
  <c r="L42" i="4"/>
  <c r="K42" i="4"/>
  <c r="J42" i="4"/>
  <c r="I42" i="4"/>
  <c r="H42" i="4"/>
  <c r="O41" i="4"/>
  <c r="M41" i="4"/>
  <c r="L41" i="4"/>
  <c r="K41" i="4"/>
  <c r="J41" i="4"/>
  <c r="I41" i="4"/>
  <c r="H41" i="4"/>
  <c r="O40" i="4"/>
  <c r="P40" i="4" s="1"/>
  <c r="M40" i="4"/>
  <c r="L40" i="4"/>
  <c r="K40" i="4"/>
  <c r="J40" i="4"/>
  <c r="I40" i="4"/>
  <c r="H40" i="4"/>
  <c r="O39" i="4"/>
  <c r="M39" i="4"/>
  <c r="L39" i="4"/>
  <c r="K39" i="4"/>
  <c r="J39" i="4"/>
  <c r="I39" i="4"/>
  <c r="H39" i="4"/>
  <c r="O38" i="4"/>
  <c r="P38" i="4" s="1"/>
  <c r="M38" i="4"/>
  <c r="L38" i="4"/>
  <c r="K38" i="4"/>
  <c r="J38" i="4"/>
  <c r="I38" i="4"/>
  <c r="H38" i="4"/>
  <c r="O37" i="4"/>
  <c r="M37" i="4"/>
  <c r="L37" i="4"/>
  <c r="K37" i="4"/>
  <c r="J37" i="4"/>
  <c r="I37" i="4"/>
  <c r="H37" i="4"/>
  <c r="O36" i="4"/>
  <c r="P36" i="4" s="1"/>
  <c r="M36" i="4"/>
  <c r="L36" i="4"/>
  <c r="K36" i="4"/>
  <c r="J36" i="4"/>
  <c r="I36" i="4"/>
  <c r="H36" i="4"/>
  <c r="O35" i="4"/>
  <c r="M35" i="4"/>
  <c r="L35" i="4"/>
  <c r="K35" i="4"/>
  <c r="J35" i="4"/>
  <c r="I35" i="4"/>
  <c r="H35" i="4"/>
  <c r="O34" i="4"/>
  <c r="P34" i="4" s="1"/>
  <c r="M34" i="4"/>
  <c r="L34" i="4"/>
  <c r="K34" i="4"/>
  <c r="J34" i="4"/>
  <c r="I34" i="4"/>
  <c r="H34" i="4"/>
  <c r="O33" i="4"/>
  <c r="M33" i="4"/>
  <c r="L33" i="4"/>
  <c r="K33" i="4"/>
  <c r="J33" i="4"/>
  <c r="I33" i="4"/>
  <c r="H33" i="4"/>
  <c r="O32" i="4"/>
  <c r="P32" i="4" s="1"/>
  <c r="M32" i="4"/>
  <c r="L32" i="4"/>
  <c r="K32" i="4"/>
  <c r="J32" i="4"/>
  <c r="I32" i="4"/>
  <c r="H32" i="4"/>
  <c r="O31" i="4"/>
  <c r="P31" i="4" s="1"/>
  <c r="M31" i="4"/>
  <c r="L31" i="4"/>
  <c r="K31" i="4"/>
  <c r="J31" i="4"/>
  <c r="I31" i="4"/>
  <c r="H31" i="4"/>
  <c r="O30" i="4"/>
  <c r="M30" i="4"/>
  <c r="L30" i="4"/>
  <c r="K30" i="4"/>
  <c r="J30" i="4"/>
  <c r="I30" i="4"/>
  <c r="H30" i="4"/>
  <c r="O29" i="4"/>
  <c r="M29" i="4"/>
  <c r="L29" i="4"/>
  <c r="K29" i="4"/>
  <c r="J29" i="4"/>
  <c r="I29" i="4"/>
  <c r="H29" i="4"/>
  <c r="O28" i="4"/>
  <c r="P28" i="4" s="1"/>
  <c r="M28" i="4"/>
  <c r="L28" i="4"/>
  <c r="K28" i="4"/>
  <c r="J28" i="4"/>
  <c r="I28" i="4"/>
  <c r="H28" i="4"/>
  <c r="O27" i="4"/>
  <c r="P27" i="4" s="1"/>
  <c r="M27" i="4"/>
  <c r="L27" i="4"/>
  <c r="K27" i="4"/>
  <c r="J27" i="4"/>
  <c r="I27" i="4"/>
  <c r="H27" i="4"/>
  <c r="O26" i="4"/>
  <c r="M26" i="4"/>
  <c r="L26" i="4"/>
  <c r="K26" i="4"/>
  <c r="J26" i="4"/>
  <c r="I26" i="4"/>
  <c r="H26" i="4"/>
  <c r="O25" i="4"/>
  <c r="M25" i="4"/>
  <c r="L25" i="4"/>
  <c r="K25" i="4"/>
  <c r="J25" i="4"/>
  <c r="I25" i="4"/>
  <c r="H25" i="4"/>
  <c r="O24" i="4"/>
  <c r="P24" i="4" s="1"/>
  <c r="M24" i="4"/>
  <c r="L24" i="4"/>
  <c r="K24" i="4"/>
  <c r="J24" i="4"/>
  <c r="I24" i="4"/>
  <c r="H24" i="4"/>
  <c r="O23" i="4"/>
  <c r="P23" i="4" s="1"/>
  <c r="M23" i="4"/>
  <c r="L23" i="4"/>
  <c r="K23" i="4"/>
  <c r="J23" i="4"/>
  <c r="I23" i="4"/>
  <c r="H23" i="4"/>
  <c r="O22" i="4"/>
  <c r="M22" i="4"/>
  <c r="L22" i="4"/>
  <c r="K22" i="4"/>
  <c r="J22" i="4"/>
  <c r="I22" i="4"/>
  <c r="H22" i="4"/>
  <c r="O21" i="4"/>
  <c r="M21" i="4"/>
  <c r="L21" i="4"/>
  <c r="K21" i="4"/>
  <c r="J21" i="4"/>
  <c r="I21" i="4"/>
  <c r="H21" i="4"/>
  <c r="O20" i="4"/>
  <c r="P20" i="4" s="1"/>
  <c r="M20" i="4"/>
  <c r="L20" i="4"/>
  <c r="K20" i="4"/>
  <c r="J20" i="4"/>
  <c r="I20" i="4"/>
  <c r="H20" i="4"/>
  <c r="O19" i="4"/>
  <c r="P19" i="4" s="1"/>
  <c r="M19" i="4"/>
  <c r="L19" i="4"/>
  <c r="K19" i="4"/>
  <c r="J19" i="4"/>
  <c r="I19" i="4"/>
  <c r="H19" i="4"/>
  <c r="O18" i="4"/>
  <c r="M18" i="4"/>
  <c r="L18" i="4"/>
  <c r="K18" i="4"/>
  <c r="J18" i="4"/>
  <c r="I18" i="4"/>
  <c r="H18" i="4"/>
  <c r="O17" i="4"/>
  <c r="M17" i="4"/>
  <c r="L17" i="4"/>
  <c r="K17" i="4"/>
  <c r="J17" i="4"/>
  <c r="I17" i="4"/>
  <c r="H17" i="4"/>
  <c r="O16" i="4"/>
  <c r="P16" i="4" s="1"/>
  <c r="M16" i="4"/>
  <c r="L16" i="4"/>
  <c r="K16" i="4"/>
  <c r="J16" i="4"/>
  <c r="I16" i="4"/>
  <c r="H16" i="4"/>
  <c r="O15" i="4"/>
  <c r="P15" i="4" s="1"/>
  <c r="M15" i="4"/>
  <c r="L15" i="4"/>
  <c r="K15" i="4"/>
  <c r="J15" i="4"/>
  <c r="I15" i="4"/>
  <c r="H15" i="4"/>
  <c r="O14" i="4"/>
  <c r="M14" i="4"/>
  <c r="L14" i="4"/>
  <c r="K14" i="4"/>
  <c r="J14" i="4"/>
  <c r="I14" i="4"/>
  <c r="H14" i="4"/>
  <c r="O13" i="4"/>
  <c r="M13" i="4"/>
  <c r="L13" i="4"/>
  <c r="K13" i="4"/>
  <c r="J13" i="4"/>
  <c r="I13" i="4"/>
  <c r="H13" i="4"/>
  <c r="O12" i="4"/>
  <c r="P12" i="4" s="1"/>
  <c r="M12" i="4"/>
  <c r="L12" i="4"/>
  <c r="K12" i="4"/>
  <c r="J12" i="4"/>
  <c r="I12" i="4"/>
  <c r="H12" i="4"/>
  <c r="O11" i="4"/>
  <c r="P11" i="4" s="1"/>
  <c r="M11" i="4"/>
  <c r="L11" i="4"/>
  <c r="K11" i="4"/>
  <c r="J11" i="4"/>
  <c r="I11" i="4"/>
  <c r="H11" i="4"/>
  <c r="O10" i="4"/>
  <c r="M10" i="4"/>
  <c r="L10" i="4"/>
  <c r="K10" i="4"/>
  <c r="J10" i="4"/>
  <c r="I10" i="4"/>
  <c r="H10" i="4"/>
  <c r="O9" i="4"/>
  <c r="M9" i="4"/>
  <c r="L9" i="4"/>
  <c r="K9" i="4"/>
  <c r="J9" i="4"/>
  <c r="I9" i="4"/>
  <c r="H9" i="4"/>
  <c r="O8" i="4"/>
  <c r="P8" i="4" s="1"/>
  <c r="M8" i="4"/>
  <c r="L8" i="4"/>
  <c r="K8" i="4"/>
  <c r="J8" i="4"/>
  <c r="I8" i="4"/>
  <c r="H8" i="4"/>
  <c r="O7" i="4"/>
  <c r="P7" i="4" s="1"/>
  <c r="M7" i="4"/>
  <c r="L7" i="4"/>
  <c r="K7" i="4"/>
  <c r="J7" i="4"/>
  <c r="I7" i="4"/>
  <c r="H7" i="4"/>
  <c r="O6" i="4"/>
  <c r="M6" i="4"/>
  <c r="L6" i="4"/>
  <c r="K6" i="4"/>
  <c r="J6" i="4"/>
  <c r="I6" i="4"/>
  <c r="H6" i="4"/>
  <c r="O5" i="4"/>
  <c r="M5" i="4"/>
  <c r="L5" i="4"/>
  <c r="K5" i="4"/>
  <c r="J5" i="4"/>
  <c r="I5" i="4"/>
  <c r="H5" i="4"/>
  <c r="O4" i="4"/>
  <c r="M4" i="4"/>
  <c r="L4" i="4"/>
  <c r="K4" i="4"/>
  <c r="J4" i="4"/>
  <c r="I4" i="4"/>
  <c r="H4" i="4"/>
  <c r="L128" i="3"/>
  <c r="J128" i="3"/>
  <c r="I128" i="3"/>
  <c r="H128" i="3"/>
  <c r="L127" i="3"/>
  <c r="M127" i="3" s="1"/>
  <c r="J127" i="3"/>
  <c r="I127" i="3"/>
  <c r="H127" i="3"/>
  <c r="L126" i="3"/>
  <c r="J126" i="3"/>
  <c r="I126" i="3"/>
  <c r="H126" i="3"/>
  <c r="L125" i="3"/>
  <c r="M125" i="3" s="1"/>
  <c r="J125" i="3"/>
  <c r="I125" i="3"/>
  <c r="H125" i="3"/>
  <c r="L124" i="3"/>
  <c r="J124" i="3"/>
  <c r="I124" i="3"/>
  <c r="H124" i="3"/>
  <c r="L123" i="3"/>
  <c r="M123" i="3" s="1"/>
  <c r="J123" i="3"/>
  <c r="I123" i="3"/>
  <c r="H123" i="3"/>
  <c r="L122" i="3"/>
  <c r="J122" i="3"/>
  <c r="I122" i="3"/>
  <c r="H122" i="3"/>
  <c r="L121" i="3"/>
  <c r="M121" i="3" s="1"/>
  <c r="J121" i="3"/>
  <c r="I121" i="3"/>
  <c r="H121" i="3"/>
  <c r="L120" i="3"/>
  <c r="J120" i="3"/>
  <c r="I120" i="3"/>
  <c r="H120" i="3"/>
  <c r="L119" i="3"/>
  <c r="M119" i="3" s="1"/>
  <c r="J119" i="3"/>
  <c r="I119" i="3"/>
  <c r="H119" i="3"/>
  <c r="L118" i="3"/>
  <c r="J118" i="3"/>
  <c r="I118" i="3"/>
  <c r="H118" i="3"/>
  <c r="L117" i="3"/>
  <c r="M117" i="3" s="1"/>
  <c r="J117" i="3"/>
  <c r="I117" i="3"/>
  <c r="H117" i="3"/>
  <c r="L116" i="3"/>
  <c r="J116" i="3"/>
  <c r="I116" i="3"/>
  <c r="H116" i="3"/>
  <c r="L115" i="3"/>
  <c r="M115" i="3" s="1"/>
  <c r="J115" i="3"/>
  <c r="I115" i="3"/>
  <c r="H115" i="3"/>
  <c r="L114" i="3"/>
  <c r="J114" i="3"/>
  <c r="I114" i="3"/>
  <c r="H114" i="3"/>
  <c r="L113" i="3"/>
  <c r="M113" i="3" s="1"/>
  <c r="J113" i="3"/>
  <c r="I113" i="3"/>
  <c r="H113" i="3"/>
  <c r="L112" i="3"/>
  <c r="J112" i="3"/>
  <c r="I112" i="3"/>
  <c r="H112" i="3"/>
  <c r="L111" i="3"/>
  <c r="M111" i="3" s="1"/>
  <c r="J111" i="3"/>
  <c r="I111" i="3"/>
  <c r="H111" i="3"/>
  <c r="L110" i="3"/>
  <c r="J110" i="3"/>
  <c r="I110" i="3"/>
  <c r="H110" i="3"/>
  <c r="L109" i="3"/>
  <c r="M109" i="3" s="1"/>
  <c r="J109" i="3"/>
  <c r="I109" i="3"/>
  <c r="H109" i="3"/>
  <c r="L108" i="3"/>
  <c r="J108" i="3"/>
  <c r="I108" i="3"/>
  <c r="H108" i="3"/>
  <c r="L107" i="3"/>
  <c r="M107" i="3" s="1"/>
  <c r="J107" i="3"/>
  <c r="I107" i="3"/>
  <c r="H107" i="3"/>
  <c r="L106" i="3"/>
  <c r="J106" i="3"/>
  <c r="I106" i="3"/>
  <c r="H106" i="3"/>
  <c r="L105" i="3"/>
  <c r="M105" i="3" s="1"/>
  <c r="J105" i="3"/>
  <c r="I105" i="3"/>
  <c r="H105" i="3"/>
  <c r="L104" i="3"/>
  <c r="J104" i="3"/>
  <c r="I104" i="3"/>
  <c r="H104" i="3"/>
  <c r="L103" i="3"/>
  <c r="M103" i="3" s="1"/>
  <c r="J103" i="3"/>
  <c r="I103" i="3"/>
  <c r="H103" i="3"/>
  <c r="L102" i="3"/>
  <c r="J102" i="3"/>
  <c r="I102" i="3"/>
  <c r="H102" i="3"/>
  <c r="L101" i="3"/>
  <c r="M101" i="3" s="1"/>
  <c r="J101" i="3"/>
  <c r="I101" i="3"/>
  <c r="H101" i="3"/>
  <c r="L100" i="3"/>
  <c r="J100" i="3"/>
  <c r="I100" i="3"/>
  <c r="H100" i="3"/>
  <c r="L99" i="3"/>
  <c r="M99" i="3" s="1"/>
  <c r="J99" i="3"/>
  <c r="I99" i="3"/>
  <c r="H99" i="3"/>
  <c r="L98" i="3"/>
  <c r="J98" i="3"/>
  <c r="I98" i="3"/>
  <c r="H98" i="3"/>
  <c r="L97" i="3"/>
  <c r="M97" i="3" s="1"/>
  <c r="J97" i="3"/>
  <c r="I97" i="3"/>
  <c r="H97" i="3"/>
  <c r="L96" i="3"/>
  <c r="J96" i="3"/>
  <c r="I96" i="3"/>
  <c r="H96" i="3"/>
  <c r="L95" i="3"/>
  <c r="M95" i="3" s="1"/>
  <c r="J95" i="3"/>
  <c r="I95" i="3"/>
  <c r="H95" i="3"/>
  <c r="L94" i="3"/>
  <c r="J94" i="3"/>
  <c r="I94" i="3"/>
  <c r="H94" i="3"/>
  <c r="L93" i="3"/>
  <c r="M93" i="3" s="1"/>
  <c r="J93" i="3"/>
  <c r="I93" i="3"/>
  <c r="H93" i="3"/>
  <c r="L92" i="3"/>
  <c r="J92" i="3"/>
  <c r="I92" i="3"/>
  <c r="H92" i="3"/>
  <c r="L91" i="3"/>
  <c r="M91" i="3" s="1"/>
  <c r="J91" i="3"/>
  <c r="I91" i="3"/>
  <c r="H91" i="3"/>
  <c r="L90" i="3"/>
  <c r="J90" i="3"/>
  <c r="I90" i="3"/>
  <c r="H90" i="3"/>
  <c r="L89" i="3"/>
  <c r="M89" i="3" s="1"/>
  <c r="J89" i="3"/>
  <c r="I89" i="3"/>
  <c r="H89" i="3"/>
  <c r="L88" i="3"/>
  <c r="J88" i="3"/>
  <c r="I88" i="3"/>
  <c r="H88" i="3"/>
  <c r="L87" i="3"/>
  <c r="M87" i="3" s="1"/>
  <c r="J87" i="3"/>
  <c r="I87" i="3"/>
  <c r="H87" i="3"/>
  <c r="L86" i="3"/>
  <c r="J86" i="3"/>
  <c r="I86" i="3"/>
  <c r="H86" i="3"/>
  <c r="L85" i="3"/>
  <c r="M85" i="3" s="1"/>
  <c r="J85" i="3"/>
  <c r="I85" i="3"/>
  <c r="H85" i="3"/>
  <c r="L84" i="3"/>
  <c r="J84" i="3"/>
  <c r="I84" i="3"/>
  <c r="H84" i="3"/>
  <c r="L83" i="3"/>
  <c r="M83" i="3" s="1"/>
  <c r="J83" i="3"/>
  <c r="I83" i="3"/>
  <c r="H83" i="3"/>
  <c r="L82" i="3"/>
  <c r="J82" i="3"/>
  <c r="I82" i="3"/>
  <c r="H82" i="3"/>
  <c r="L81" i="3"/>
  <c r="M81" i="3" s="1"/>
  <c r="J81" i="3"/>
  <c r="I81" i="3"/>
  <c r="H81" i="3"/>
  <c r="L80" i="3"/>
  <c r="J80" i="3"/>
  <c r="I80" i="3"/>
  <c r="H80" i="3"/>
  <c r="L79" i="3"/>
  <c r="M79" i="3" s="1"/>
  <c r="J79" i="3"/>
  <c r="I79" i="3"/>
  <c r="H79" i="3"/>
  <c r="L78" i="3"/>
  <c r="J78" i="3"/>
  <c r="I78" i="3"/>
  <c r="H78" i="3"/>
  <c r="L77" i="3"/>
  <c r="M77" i="3" s="1"/>
  <c r="J77" i="3"/>
  <c r="I77" i="3"/>
  <c r="H77" i="3"/>
  <c r="L76" i="3"/>
  <c r="J76" i="3"/>
  <c r="I76" i="3"/>
  <c r="H76" i="3"/>
  <c r="L75" i="3"/>
  <c r="M75" i="3" s="1"/>
  <c r="J75" i="3"/>
  <c r="I75" i="3"/>
  <c r="H75" i="3"/>
  <c r="L74" i="3"/>
  <c r="J74" i="3"/>
  <c r="I74" i="3"/>
  <c r="H74" i="3"/>
  <c r="L73" i="3"/>
  <c r="M73" i="3" s="1"/>
  <c r="J73" i="3"/>
  <c r="I73" i="3"/>
  <c r="H73" i="3"/>
  <c r="L72" i="3"/>
  <c r="J72" i="3"/>
  <c r="I72" i="3"/>
  <c r="H72" i="3"/>
  <c r="L71" i="3"/>
  <c r="M71" i="3" s="1"/>
  <c r="J71" i="3"/>
  <c r="I71" i="3"/>
  <c r="H71" i="3"/>
  <c r="L70" i="3"/>
  <c r="J70" i="3"/>
  <c r="I70" i="3"/>
  <c r="H70" i="3"/>
  <c r="L69" i="3"/>
  <c r="M69" i="3" s="1"/>
  <c r="J69" i="3"/>
  <c r="I69" i="3"/>
  <c r="H69" i="3"/>
  <c r="L68" i="3"/>
  <c r="J68" i="3"/>
  <c r="I68" i="3"/>
  <c r="H68" i="3"/>
  <c r="L67" i="3"/>
  <c r="M67" i="3" s="1"/>
  <c r="J67" i="3"/>
  <c r="I67" i="3"/>
  <c r="H67" i="3"/>
  <c r="L66" i="3"/>
  <c r="J66" i="3"/>
  <c r="I66" i="3"/>
  <c r="H66" i="3"/>
  <c r="L65" i="3"/>
  <c r="M65" i="3" s="1"/>
  <c r="J65" i="3"/>
  <c r="I65" i="3"/>
  <c r="H65" i="3"/>
  <c r="L64" i="3"/>
  <c r="J64" i="3"/>
  <c r="I64" i="3"/>
  <c r="H64" i="3"/>
  <c r="L63" i="3"/>
  <c r="M63" i="3" s="1"/>
  <c r="J63" i="3"/>
  <c r="I63" i="3"/>
  <c r="H63" i="3"/>
  <c r="L62" i="3"/>
  <c r="J62" i="3"/>
  <c r="I62" i="3"/>
  <c r="H62" i="3"/>
  <c r="L61" i="3"/>
  <c r="M61" i="3" s="1"/>
  <c r="J61" i="3"/>
  <c r="I61" i="3"/>
  <c r="H61" i="3"/>
  <c r="L60" i="3"/>
  <c r="J60" i="3"/>
  <c r="I60" i="3"/>
  <c r="H60" i="3"/>
  <c r="L59" i="3"/>
  <c r="M59" i="3" s="1"/>
  <c r="J59" i="3"/>
  <c r="I59" i="3"/>
  <c r="H59" i="3"/>
  <c r="L58" i="3"/>
  <c r="J58" i="3"/>
  <c r="I58" i="3"/>
  <c r="H58" i="3"/>
  <c r="L57" i="3"/>
  <c r="M57" i="3" s="1"/>
  <c r="J57" i="3"/>
  <c r="I57" i="3"/>
  <c r="H57" i="3"/>
  <c r="L56" i="3"/>
  <c r="J56" i="3"/>
  <c r="I56" i="3"/>
  <c r="H56" i="3"/>
  <c r="L55" i="3"/>
  <c r="M55" i="3" s="1"/>
  <c r="J55" i="3"/>
  <c r="I55" i="3"/>
  <c r="H55" i="3"/>
  <c r="L54" i="3"/>
  <c r="J54" i="3"/>
  <c r="I54" i="3"/>
  <c r="H54" i="3"/>
  <c r="L53" i="3"/>
  <c r="M53" i="3" s="1"/>
  <c r="J53" i="3"/>
  <c r="I53" i="3"/>
  <c r="H53" i="3"/>
  <c r="L52" i="3"/>
  <c r="J52" i="3"/>
  <c r="I52" i="3"/>
  <c r="H52" i="3"/>
  <c r="L51" i="3"/>
  <c r="M51" i="3" s="1"/>
  <c r="J51" i="3"/>
  <c r="I51" i="3"/>
  <c r="H51" i="3"/>
  <c r="L50" i="3"/>
  <c r="J50" i="3"/>
  <c r="I50" i="3"/>
  <c r="H50" i="3"/>
  <c r="L49" i="3"/>
  <c r="M49" i="3" s="1"/>
  <c r="J49" i="3"/>
  <c r="I49" i="3"/>
  <c r="H49" i="3"/>
  <c r="L48" i="3"/>
  <c r="J48" i="3"/>
  <c r="I48" i="3"/>
  <c r="H48" i="3"/>
  <c r="L47" i="3"/>
  <c r="M47" i="3" s="1"/>
  <c r="J47" i="3"/>
  <c r="I47" i="3"/>
  <c r="H47" i="3"/>
  <c r="L46" i="3"/>
  <c r="J46" i="3"/>
  <c r="I46" i="3"/>
  <c r="H46" i="3"/>
  <c r="L45" i="3"/>
  <c r="M45" i="3" s="1"/>
  <c r="J45" i="3"/>
  <c r="I45" i="3"/>
  <c r="H45" i="3"/>
  <c r="L44" i="3"/>
  <c r="J44" i="3"/>
  <c r="I44" i="3"/>
  <c r="H44" i="3"/>
  <c r="L43" i="3"/>
  <c r="M43" i="3" s="1"/>
  <c r="J43" i="3"/>
  <c r="I43" i="3"/>
  <c r="H43" i="3"/>
  <c r="L42" i="3"/>
  <c r="J42" i="3"/>
  <c r="I42" i="3"/>
  <c r="H42" i="3"/>
  <c r="L41" i="3"/>
  <c r="M41" i="3" s="1"/>
  <c r="J41" i="3"/>
  <c r="I41" i="3"/>
  <c r="H41" i="3"/>
  <c r="L40" i="3"/>
  <c r="J40" i="3"/>
  <c r="I40" i="3"/>
  <c r="H40" i="3"/>
  <c r="L39" i="3"/>
  <c r="M39" i="3" s="1"/>
  <c r="J39" i="3"/>
  <c r="I39" i="3"/>
  <c r="H39" i="3"/>
  <c r="L38" i="3"/>
  <c r="M38" i="3" s="1"/>
  <c r="J38" i="3"/>
  <c r="I38" i="3"/>
  <c r="H38" i="3"/>
  <c r="L37" i="3"/>
  <c r="M37" i="3" s="1"/>
  <c r="J37" i="3"/>
  <c r="I37" i="3"/>
  <c r="H37" i="3"/>
  <c r="L36" i="3"/>
  <c r="M36" i="3" s="1"/>
  <c r="J36" i="3"/>
  <c r="I36" i="3"/>
  <c r="H36" i="3"/>
  <c r="L35" i="3"/>
  <c r="M35" i="3" s="1"/>
  <c r="J35" i="3"/>
  <c r="I35" i="3"/>
  <c r="H35" i="3"/>
  <c r="L34" i="3"/>
  <c r="J34" i="3"/>
  <c r="I34" i="3"/>
  <c r="H34" i="3"/>
  <c r="L33" i="3"/>
  <c r="M33" i="3" s="1"/>
  <c r="J33" i="3"/>
  <c r="I33" i="3"/>
  <c r="H33" i="3"/>
  <c r="L32" i="3"/>
  <c r="M32" i="3" s="1"/>
  <c r="J32" i="3"/>
  <c r="I32" i="3"/>
  <c r="H32" i="3"/>
  <c r="L31" i="3"/>
  <c r="J31" i="3"/>
  <c r="I31" i="3"/>
  <c r="H31" i="3"/>
  <c r="L30" i="3"/>
  <c r="M30" i="3" s="1"/>
  <c r="J30" i="3"/>
  <c r="I30" i="3"/>
  <c r="H30" i="3"/>
  <c r="L29" i="3"/>
  <c r="J29" i="3"/>
  <c r="I29" i="3"/>
  <c r="H29" i="3"/>
  <c r="L28" i="3"/>
  <c r="M28" i="3" s="1"/>
  <c r="J28" i="3"/>
  <c r="I28" i="3"/>
  <c r="H28" i="3"/>
  <c r="L27" i="3"/>
  <c r="M27" i="3" s="1"/>
  <c r="J27" i="3"/>
  <c r="I27" i="3"/>
  <c r="H27" i="3"/>
  <c r="L26" i="3"/>
  <c r="M26" i="3" s="1"/>
  <c r="J26" i="3"/>
  <c r="I26" i="3"/>
  <c r="H26" i="3"/>
  <c r="L25" i="3"/>
  <c r="M25" i="3" s="1"/>
  <c r="J25" i="3"/>
  <c r="I25" i="3"/>
  <c r="H25" i="3"/>
  <c r="L24" i="3"/>
  <c r="M24" i="3" s="1"/>
  <c r="J24" i="3"/>
  <c r="I24" i="3"/>
  <c r="H24" i="3"/>
  <c r="L23" i="3"/>
  <c r="M23" i="3" s="1"/>
  <c r="J23" i="3"/>
  <c r="I23" i="3"/>
  <c r="H23" i="3"/>
  <c r="L22" i="3"/>
  <c r="M22" i="3" s="1"/>
  <c r="J22" i="3"/>
  <c r="I22" i="3"/>
  <c r="H22" i="3"/>
  <c r="L21" i="3"/>
  <c r="M21" i="3" s="1"/>
  <c r="J21" i="3"/>
  <c r="I21" i="3"/>
  <c r="H21" i="3"/>
  <c r="L20" i="3"/>
  <c r="M20" i="3" s="1"/>
  <c r="J20" i="3"/>
  <c r="I20" i="3"/>
  <c r="H20" i="3"/>
  <c r="L19" i="3"/>
  <c r="J19" i="3"/>
  <c r="I19" i="3"/>
  <c r="H19" i="3"/>
  <c r="L18" i="3"/>
  <c r="M18" i="3" s="1"/>
  <c r="J18" i="3"/>
  <c r="I18" i="3"/>
  <c r="H18" i="3"/>
  <c r="L17" i="3"/>
  <c r="J17" i="3"/>
  <c r="I17" i="3"/>
  <c r="H17" i="3"/>
  <c r="L16" i="3"/>
  <c r="M16" i="3" s="1"/>
  <c r="J16" i="3"/>
  <c r="I16" i="3"/>
  <c r="H16" i="3"/>
  <c r="L15" i="3"/>
  <c r="J15" i="3"/>
  <c r="I15" i="3"/>
  <c r="H15" i="3"/>
  <c r="L14" i="3"/>
  <c r="M14" i="3" s="1"/>
  <c r="J14" i="3"/>
  <c r="I14" i="3"/>
  <c r="H14" i="3"/>
  <c r="L13" i="3"/>
  <c r="J13" i="3"/>
  <c r="I13" i="3"/>
  <c r="H13" i="3"/>
  <c r="L12" i="3"/>
  <c r="M12" i="3" s="1"/>
  <c r="J12" i="3"/>
  <c r="I12" i="3"/>
  <c r="H12" i="3"/>
  <c r="L11" i="3"/>
  <c r="J11" i="3"/>
  <c r="I11" i="3"/>
  <c r="H11" i="3"/>
  <c r="L10" i="3"/>
  <c r="M10" i="3" s="1"/>
  <c r="J10" i="3"/>
  <c r="I10" i="3"/>
  <c r="H10" i="3"/>
  <c r="L9" i="3"/>
  <c r="M9" i="3" s="1"/>
  <c r="J9" i="3"/>
  <c r="I9" i="3"/>
  <c r="H9" i="3"/>
  <c r="L8" i="3"/>
  <c r="M8" i="3" s="1"/>
  <c r="J8" i="3"/>
  <c r="I8" i="3"/>
  <c r="H8" i="3"/>
  <c r="L7" i="3"/>
  <c r="J7" i="3"/>
  <c r="I7" i="3"/>
  <c r="H7" i="3"/>
  <c r="L6" i="3"/>
  <c r="M6" i="3" s="1"/>
  <c r="J6" i="3"/>
  <c r="I6" i="3"/>
  <c r="H6" i="3"/>
  <c r="L5" i="3"/>
  <c r="M5" i="3" s="1"/>
  <c r="J5" i="3"/>
  <c r="I5" i="3"/>
  <c r="H5" i="3"/>
  <c r="L4" i="3"/>
  <c r="J4" i="3"/>
  <c r="I4" i="3"/>
  <c r="H4" i="3"/>
  <c r="N4" i="10" l="1"/>
  <c r="N4" i="9"/>
  <c r="P4" i="8"/>
  <c r="K4" i="7"/>
  <c r="N4" i="6"/>
  <c r="P4" i="4"/>
  <c r="M4" i="3"/>
  <c r="N10" i="10"/>
  <c r="N6" i="10"/>
  <c r="N5" i="10"/>
  <c r="N9" i="10"/>
  <c r="N13" i="10"/>
  <c r="N17" i="10"/>
  <c r="N21" i="10"/>
  <c r="N25" i="10"/>
  <c r="N30" i="10"/>
  <c r="N31" i="10"/>
  <c r="N32" i="10"/>
  <c r="N33" i="10"/>
  <c r="N34" i="10"/>
  <c r="N35" i="10"/>
  <c r="N36" i="10"/>
  <c r="N37" i="10"/>
  <c r="N41" i="10"/>
  <c r="N45" i="10"/>
  <c r="N49" i="10"/>
  <c r="N53" i="10"/>
  <c r="N57" i="10"/>
  <c r="N61" i="10"/>
  <c r="N65" i="10"/>
  <c r="N69" i="10"/>
  <c r="N73" i="10"/>
  <c r="N77" i="10"/>
  <c r="N81" i="10"/>
  <c r="N85" i="10"/>
  <c r="N89" i="10"/>
  <c r="N93" i="10"/>
  <c r="N97" i="10"/>
  <c r="N101" i="10"/>
  <c r="N105" i="10"/>
  <c r="N109" i="10"/>
  <c r="N113" i="10"/>
  <c r="N117" i="10"/>
  <c r="N121" i="10"/>
  <c r="N125" i="10"/>
  <c r="N40" i="10"/>
  <c r="N44" i="10"/>
  <c r="N48" i="10"/>
  <c r="N52" i="10"/>
  <c r="N56" i="10"/>
  <c r="N60" i="10"/>
  <c r="N64" i="10"/>
  <c r="N68" i="10"/>
  <c r="N72" i="10"/>
  <c r="N76" i="10"/>
  <c r="N80" i="10"/>
  <c r="N84" i="10"/>
  <c r="N88" i="10"/>
  <c r="N92" i="10"/>
  <c r="N96" i="10"/>
  <c r="N100" i="10"/>
  <c r="N104" i="10"/>
  <c r="N108" i="10"/>
  <c r="N112" i="10"/>
  <c r="N116" i="10"/>
  <c r="N120" i="10"/>
  <c r="N124" i="10"/>
  <c r="N128" i="10"/>
  <c r="N43" i="9"/>
  <c r="N39" i="9"/>
  <c r="N95" i="9"/>
  <c r="N127" i="9"/>
  <c r="N6" i="9"/>
  <c r="N10" i="9"/>
  <c r="N14" i="9"/>
  <c r="N18" i="9"/>
  <c r="N22" i="9"/>
  <c r="N26" i="9"/>
  <c r="N38" i="9"/>
  <c r="N42" i="9"/>
  <c r="N46" i="9"/>
  <c r="N50" i="9"/>
  <c r="N54" i="9"/>
  <c r="N58" i="9"/>
  <c r="N62" i="9"/>
  <c r="N66" i="9"/>
  <c r="N70" i="9"/>
  <c r="N74" i="9"/>
  <c r="N78" i="9"/>
  <c r="N82" i="9"/>
  <c r="N86" i="9"/>
  <c r="N90" i="9"/>
  <c r="N94" i="9"/>
  <c r="N98" i="9"/>
  <c r="N102" i="9"/>
  <c r="N106" i="9"/>
  <c r="N110" i="9"/>
  <c r="N114" i="9"/>
  <c r="N118" i="9"/>
  <c r="N122" i="9"/>
  <c r="N126" i="9"/>
  <c r="P5" i="8"/>
  <c r="P9" i="8"/>
  <c r="P13" i="8"/>
  <c r="P17" i="8"/>
  <c r="P21" i="8"/>
  <c r="P25" i="8"/>
  <c r="P29" i="8"/>
  <c r="P32" i="8"/>
  <c r="P34" i="8"/>
  <c r="P36" i="8"/>
  <c r="P38" i="8"/>
  <c r="P41" i="8"/>
  <c r="P45" i="8"/>
  <c r="P49" i="8"/>
  <c r="P53" i="8"/>
  <c r="P57" i="8"/>
  <c r="P61" i="8"/>
  <c r="P65" i="8"/>
  <c r="P69" i="8"/>
  <c r="P73" i="8"/>
  <c r="P77" i="8"/>
  <c r="P81" i="8"/>
  <c r="P85" i="8"/>
  <c r="P89" i="8"/>
  <c r="P93" i="8"/>
  <c r="P97" i="8"/>
  <c r="P101" i="8"/>
  <c r="P105" i="8"/>
  <c r="P109" i="8"/>
  <c r="P113" i="8"/>
  <c r="P117" i="8"/>
  <c r="P121" i="8"/>
  <c r="P125" i="8"/>
  <c r="P6" i="8"/>
  <c r="P10" i="8"/>
  <c r="P14" i="8"/>
  <c r="P18" i="8"/>
  <c r="P22" i="8"/>
  <c r="P26" i="8"/>
  <c r="P30" i="8"/>
  <c r="P42" i="8"/>
  <c r="P46" i="8"/>
  <c r="P50" i="8"/>
  <c r="P54" i="8"/>
  <c r="P58" i="8"/>
  <c r="P62" i="8"/>
  <c r="P66" i="8"/>
  <c r="P70" i="8"/>
  <c r="P74" i="8"/>
  <c r="P78" i="8"/>
  <c r="P82" i="8"/>
  <c r="P86" i="8"/>
  <c r="P90" i="8"/>
  <c r="P94" i="8"/>
  <c r="P98" i="8"/>
  <c r="P102" i="8"/>
  <c r="P106" i="8"/>
  <c r="P110" i="8"/>
  <c r="P114" i="8"/>
  <c r="P118" i="8"/>
  <c r="P122" i="8"/>
  <c r="P126" i="8"/>
  <c r="K45" i="7"/>
  <c r="K51" i="7"/>
  <c r="K57" i="7"/>
  <c r="K63" i="7"/>
  <c r="K69" i="7"/>
  <c r="K73" i="7"/>
  <c r="K77" i="7"/>
  <c r="K85" i="7"/>
  <c r="K91" i="7"/>
  <c r="K93" i="7"/>
  <c r="K97" i="7"/>
  <c r="K99" i="7"/>
  <c r="K101" i="7"/>
  <c r="K103" i="7"/>
  <c r="K105" i="7"/>
  <c r="K107" i="7"/>
  <c r="K109" i="7"/>
  <c r="K111" i="7"/>
  <c r="K113" i="7"/>
  <c r="K115" i="7"/>
  <c r="K117" i="7"/>
  <c r="K121" i="7"/>
  <c r="K125" i="7"/>
  <c r="K127" i="7"/>
  <c r="K29" i="7"/>
  <c r="K47" i="7"/>
  <c r="K53" i="7"/>
  <c r="K59" i="7"/>
  <c r="K67" i="7"/>
  <c r="K75" i="7"/>
  <c r="K81" i="7"/>
  <c r="K87" i="7"/>
  <c r="K119" i="7"/>
  <c r="K44" i="7"/>
  <c r="K46" i="7"/>
  <c r="K48" i="7"/>
  <c r="K50" i="7"/>
  <c r="K52" i="7"/>
  <c r="K54" i="7"/>
  <c r="K56" i="7"/>
  <c r="K58" i="7"/>
  <c r="K60" i="7"/>
  <c r="K62" i="7"/>
  <c r="K64" i="7"/>
  <c r="K66" i="7"/>
  <c r="K68" i="7"/>
  <c r="K70" i="7"/>
  <c r="K72" i="7"/>
  <c r="K74" i="7"/>
  <c r="K76" i="7"/>
  <c r="K78" i="7"/>
  <c r="K80" i="7"/>
  <c r="K82" i="7"/>
  <c r="K84" i="7"/>
  <c r="K86" i="7"/>
  <c r="K88" i="7"/>
  <c r="K90" i="7"/>
  <c r="K92" i="7"/>
  <c r="K94" i="7"/>
  <c r="K96" i="7"/>
  <c r="K98" i="7"/>
  <c r="K100" i="7"/>
  <c r="K102" i="7"/>
  <c r="K104" i="7"/>
  <c r="K106" i="7"/>
  <c r="K108" i="7"/>
  <c r="K110" i="7"/>
  <c r="K112" i="7"/>
  <c r="K114" i="7"/>
  <c r="K116" i="7"/>
  <c r="K118" i="7"/>
  <c r="K120" i="7"/>
  <c r="K122" i="7"/>
  <c r="K124" i="7"/>
  <c r="K126" i="7"/>
  <c r="K128" i="7"/>
  <c r="K49" i="7"/>
  <c r="K55" i="7"/>
  <c r="K61" i="7"/>
  <c r="K65" i="7"/>
  <c r="K71" i="7"/>
  <c r="K79" i="7"/>
  <c r="K83" i="7"/>
  <c r="K89" i="7"/>
  <c r="K95" i="7"/>
  <c r="K123" i="7"/>
  <c r="N63" i="6"/>
  <c r="N43" i="6"/>
  <c r="N75" i="6"/>
  <c r="N123" i="6"/>
  <c r="N47" i="6"/>
  <c r="N111" i="6"/>
  <c r="N127" i="6"/>
  <c r="N19" i="6"/>
  <c r="N27" i="6"/>
  <c r="N59" i="6"/>
  <c r="N91" i="6"/>
  <c r="N7" i="6"/>
  <c r="N39" i="6"/>
  <c r="N55" i="6"/>
  <c r="N71" i="6"/>
  <c r="N87" i="6"/>
  <c r="N103" i="6"/>
  <c r="N119" i="6"/>
  <c r="N6" i="6"/>
  <c r="N79" i="6"/>
  <c r="N95" i="6"/>
  <c r="N11" i="6"/>
  <c r="N107" i="6"/>
  <c r="N15" i="6"/>
  <c r="N23" i="6"/>
  <c r="N51" i="6"/>
  <c r="N67" i="6"/>
  <c r="N83" i="6"/>
  <c r="N99" i="6"/>
  <c r="N115" i="6"/>
  <c r="N10" i="6"/>
  <c r="N14" i="6"/>
  <c r="N18" i="6"/>
  <c r="N22" i="6"/>
  <c r="N26" i="6"/>
  <c r="N38" i="6"/>
  <c r="N42" i="6"/>
  <c r="N46" i="6"/>
  <c r="N50" i="6"/>
  <c r="N54" i="6"/>
  <c r="N58" i="6"/>
  <c r="N62" i="6"/>
  <c r="N66" i="6"/>
  <c r="N70" i="6"/>
  <c r="N74" i="6"/>
  <c r="N78" i="6"/>
  <c r="N82" i="6"/>
  <c r="N86" i="6"/>
  <c r="N90" i="6"/>
  <c r="N94" i="6"/>
  <c r="N98" i="6"/>
  <c r="N102" i="6"/>
  <c r="N106" i="6"/>
  <c r="N110" i="6"/>
  <c r="N114" i="6"/>
  <c r="N118" i="6"/>
  <c r="N122" i="6"/>
  <c r="N126" i="6"/>
  <c r="O20" i="5"/>
  <c r="O22" i="5"/>
  <c r="O24" i="5"/>
  <c r="O26" i="5"/>
  <c r="O28" i="5"/>
  <c r="O30" i="5"/>
  <c r="O53" i="5"/>
  <c r="O65" i="5"/>
  <c r="O81" i="5"/>
  <c r="O97" i="5"/>
  <c r="O113" i="5"/>
  <c r="O5" i="5"/>
  <c r="O13" i="5"/>
  <c r="O17" i="5"/>
  <c r="O37" i="5"/>
  <c r="O85" i="5"/>
  <c r="O117" i="5"/>
  <c r="O4" i="5"/>
  <c r="O12" i="5"/>
  <c r="O19" i="5"/>
  <c r="O21" i="5"/>
  <c r="O23" i="5"/>
  <c r="O25" i="5"/>
  <c r="O27" i="5"/>
  <c r="O29" i="5"/>
  <c r="O31" i="5"/>
  <c r="O45" i="5"/>
  <c r="O57" i="5"/>
  <c r="O73" i="5"/>
  <c r="O89" i="5"/>
  <c r="O105" i="5"/>
  <c r="O121" i="5"/>
  <c r="O69" i="5"/>
  <c r="O101" i="5"/>
  <c r="O7" i="5"/>
  <c r="O11" i="5"/>
  <c r="O15" i="5"/>
  <c r="O36" i="5"/>
  <c r="O38" i="5"/>
  <c r="O49" i="5"/>
  <c r="O61" i="5"/>
  <c r="O77" i="5"/>
  <c r="O93" i="5"/>
  <c r="O109" i="5"/>
  <c r="O125" i="5"/>
  <c r="O32" i="5"/>
  <c r="O33" i="5"/>
  <c r="O40" i="5"/>
  <c r="O41" i="5"/>
  <c r="O42" i="5"/>
  <c r="O43" i="5"/>
  <c r="O48" i="5"/>
  <c r="O56" i="5"/>
  <c r="O64" i="5"/>
  <c r="O68" i="5"/>
  <c r="O72" i="5"/>
  <c r="O80" i="5"/>
  <c r="O88" i="5"/>
  <c r="O92" i="5"/>
  <c r="O96" i="5"/>
  <c r="O104" i="5"/>
  <c r="O112" i="5"/>
  <c r="O120" i="5"/>
  <c r="O128" i="5"/>
  <c r="O47" i="5"/>
  <c r="O51" i="5"/>
  <c r="O59" i="5"/>
  <c r="O63" i="5"/>
  <c r="O67" i="5"/>
  <c r="O71" i="5"/>
  <c r="O75" i="5"/>
  <c r="O79" i="5"/>
  <c r="O83" i="5"/>
  <c r="O87" i="5"/>
  <c r="O91" i="5"/>
  <c r="O95" i="5"/>
  <c r="O99" i="5"/>
  <c r="O103" i="5"/>
  <c r="O107" i="5"/>
  <c r="O111" i="5"/>
  <c r="O115" i="5"/>
  <c r="O119" i="5"/>
  <c r="O123" i="5"/>
  <c r="O127" i="5"/>
  <c r="P5" i="4"/>
  <c r="P9" i="4"/>
  <c r="P13" i="4"/>
  <c r="P17" i="4"/>
  <c r="P21" i="4"/>
  <c r="P25" i="4"/>
  <c r="P29" i="4"/>
  <c r="P35" i="4"/>
  <c r="P37" i="4"/>
  <c r="P39" i="4"/>
  <c r="P41" i="4"/>
  <c r="P45" i="4"/>
  <c r="P49" i="4"/>
  <c r="P53" i="4"/>
  <c r="P57" i="4"/>
  <c r="P61" i="4"/>
  <c r="P65" i="4"/>
  <c r="P69" i="4"/>
  <c r="P73" i="4"/>
  <c r="P77" i="4"/>
  <c r="P81" i="4"/>
  <c r="P85" i="4"/>
  <c r="P89" i="4"/>
  <c r="P93" i="4"/>
  <c r="P97" i="4"/>
  <c r="P101" i="4"/>
  <c r="P105" i="4"/>
  <c r="P109" i="4"/>
  <c r="P113" i="4"/>
  <c r="P117" i="4"/>
  <c r="P121" i="4"/>
  <c r="P125" i="4"/>
  <c r="P6" i="4"/>
  <c r="P10" i="4"/>
  <c r="P14" i="4"/>
  <c r="P18" i="4"/>
  <c r="P22" i="4"/>
  <c r="P26" i="4"/>
  <c r="P30" i="4"/>
  <c r="P33" i="4"/>
  <c r="M7" i="3"/>
  <c r="M13" i="3"/>
  <c r="M17" i="3"/>
  <c r="M34" i="3"/>
  <c r="M11" i="3"/>
  <c r="M15" i="3"/>
  <c r="M19" i="3"/>
  <c r="M29" i="3"/>
  <c r="M31" i="3"/>
  <c r="M40" i="3"/>
  <c r="M42" i="3"/>
  <c r="M44" i="3"/>
  <c r="M46" i="3"/>
  <c r="M48" i="3"/>
  <c r="M50" i="3"/>
  <c r="M52" i="3"/>
  <c r="M54" i="3"/>
  <c r="M56" i="3"/>
  <c r="M58" i="3"/>
  <c r="M60" i="3"/>
  <c r="M62" i="3"/>
  <c r="M64" i="3"/>
  <c r="M66" i="3"/>
  <c r="M68" i="3"/>
  <c r="M70" i="3"/>
  <c r="M72" i="3"/>
  <c r="M74" i="3"/>
  <c r="M76" i="3"/>
  <c r="M78" i="3"/>
  <c r="M80" i="3"/>
  <c r="M82" i="3"/>
  <c r="M84" i="3"/>
  <c r="M86" i="3"/>
  <c r="M88" i="3"/>
  <c r="M90" i="3"/>
  <c r="M92" i="3"/>
  <c r="M94" i="3"/>
  <c r="M96" i="3"/>
  <c r="M98" i="3"/>
  <c r="M100" i="3"/>
  <c r="M102" i="3"/>
  <c r="M104" i="3"/>
  <c r="M106" i="3"/>
  <c r="M108" i="3"/>
  <c r="M110" i="3"/>
  <c r="M112" i="3"/>
  <c r="M114" i="3"/>
  <c r="M116" i="3"/>
  <c r="M118" i="3"/>
  <c r="M120" i="3"/>
  <c r="M122" i="3"/>
  <c r="M124" i="3"/>
  <c r="M126" i="3"/>
  <c r="M128" i="3"/>
  <c r="Q129" i="8" l="1"/>
  <c r="L135" i="7"/>
  <c r="L131" i="7"/>
  <c r="O135" i="6"/>
  <c r="P131" i="5"/>
  <c r="P138" i="5"/>
  <c r="Q134" i="4"/>
  <c r="O135" i="10"/>
  <c r="O134" i="9"/>
  <c r="O132" i="9"/>
  <c r="Q134" i="8"/>
  <c r="Q132" i="8"/>
  <c r="Q135" i="8"/>
  <c r="O132" i="6"/>
  <c r="O133" i="6"/>
  <c r="P135" i="5"/>
  <c r="P134" i="5"/>
  <c r="P132" i="5"/>
  <c r="P133" i="5"/>
  <c r="Q133" i="4"/>
  <c r="Q132" i="4"/>
  <c r="Q135" i="4"/>
  <c r="N134" i="3"/>
  <c r="N132" i="3"/>
  <c r="N133" i="3"/>
  <c r="L58" i="7"/>
  <c r="O44" i="6"/>
  <c r="P50" i="5"/>
  <c r="N92" i="3"/>
  <c r="Q85" i="4"/>
  <c r="N85" i="3"/>
  <c r="N8" i="3"/>
  <c r="N50" i="3"/>
  <c r="N127" i="3"/>
  <c r="N64" i="3"/>
  <c r="N29" i="3"/>
  <c r="N120" i="3"/>
  <c r="N36" i="3"/>
  <c r="N15" i="3"/>
  <c r="O85" i="10" l="1"/>
  <c r="O134" i="10"/>
  <c r="O131" i="10"/>
  <c r="O138" i="10"/>
  <c r="O129" i="10"/>
  <c r="O136" i="10"/>
  <c r="O130" i="10"/>
  <c r="O137" i="10"/>
  <c r="O105" i="10"/>
  <c r="O133" i="10"/>
  <c r="O34" i="10"/>
  <c r="O132" i="10"/>
  <c r="O130" i="9"/>
  <c r="O137" i="9"/>
  <c r="O129" i="9"/>
  <c r="O136" i="9"/>
  <c r="O100" i="9"/>
  <c r="O135" i="9"/>
  <c r="O14" i="9"/>
  <c r="O133" i="9"/>
  <c r="O131" i="9"/>
  <c r="O138" i="9"/>
  <c r="Q136" i="8"/>
  <c r="Q14" i="8"/>
  <c r="Q133" i="8"/>
  <c r="Q130" i="8"/>
  <c r="Q137" i="8"/>
  <c r="Q131" i="8"/>
  <c r="Q138" i="8"/>
  <c r="L138" i="7"/>
  <c r="L63" i="7"/>
  <c r="L133" i="7"/>
  <c r="L57" i="7"/>
  <c r="L134" i="7"/>
  <c r="L130" i="7"/>
  <c r="L137" i="7"/>
  <c r="L129" i="7"/>
  <c r="L136" i="7"/>
  <c r="L20" i="7"/>
  <c r="L132" i="7"/>
  <c r="L126" i="7"/>
  <c r="L91" i="7"/>
  <c r="L35" i="7"/>
  <c r="O129" i="6"/>
  <c r="O136" i="6"/>
  <c r="O130" i="6"/>
  <c r="O137" i="6"/>
  <c r="O131" i="6"/>
  <c r="O138" i="6"/>
  <c r="O29" i="6"/>
  <c r="O134" i="6"/>
  <c r="P130" i="5"/>
  <c r="P137" i="5"/>
  <c r="P129" i="5"/>
  <c r="P136" i="5"/>
  <c r="Q130" i="4"/>
  <c r="Q137" i="4"/>
  <c r="Q131" i="4"/>
  <c r="Q138" i="4"/>
  <c r="Q129" i="4"/>
  <c r="Q136" i="4"/>
  <c r="Q38" i="4"/>
  <c r="N93" i="3"/>
  <c r="N135" i="3"/>
  <c r="N130" i="3"/>
  <c r="N137" i="3"/>
  <c r="N129" i="3"/>
  <c r="N136" i="3"/>
  <c r="N131" i="3"/>
  <c r="N138" i="3"/>
  <c r="N16" i="3"/>
  <c r="N72" i="3"/>
  <c r="N23" i="3"/>
  <c r="N58" i="3"/>
  <c r="Q8" i="8"/>
  <c r="Q58" i="4"/>
  <c r="N108" i="3"/>
  <c r="L113" i="7"/>
  <c r="L7" i="7"/>
  <c r="L14" i="7"/>
  <c r="L21" i="7"/>
  <c r="L70" i="7"/>
  <c r="L77" i="7"/>
  <c r="L49" i="7"/>
  <c r="L112" i="7"/>
  <c r="L84" i="7"/>
  <c r="L119" i="7"/>
  <c r="L42" i="7"/>
  <c r="L98" i="7"/>
  <c r="L56" i="7"/>
  <c r="L28" i="7"/>
  <c r="L105" i="7"/>
  <c r="O126" i="6"/>
  <c r="O109" i="9"/>
  <c r="L10" i="7"/>
  <c r="L101" i="7"/>
  <c r="L32" i="7"/>
  <c r="N43" i="3"/>
  <c r="N78" i="3"/>
  <c r="N22" i="3"/>
  <c r="N57" i="3"/>
  <c r="N106" i="3"/>
  <c r="N99" i="3"/>
  <c r="N113" i="3"/>
  <c r="N71" i="3"/>
  <c r="O121" i="10"/>
  <c r="Q86" i="8"/>
  <c r="L71" i="7"/>
  <c r="L38" i="7"/>
  <c r="L115" i="7"/>
  <c r="L106" i="7"/>
  <c r="L80" i="7"/>
  <c r="L31" i="7"/>
  <c r="L59" i="7"/>
  <c r="L66" i="7"/>
  <c r="Q84" i="4"/>
  <c r="Q63" i="4"/>
  <c r="Q28" i="4"/>
  <c r="Q112" i="4"/>
  <c r="Q49" i="4"/>
  <c r="Q14" i="4"/>
  <c r="Q21" i="4"/>
  <c r="Q7" i="4"/>
  <c r="Q42" i="4"/>
  <c r="Q119" i="4"/>
  <c r="Q56" i="4"/>
  <c r="Q126" i="4"/>
  <c r="Q70" i="4"/>
  <c r="Q98" i="4"/>
  <c r="Q77" i="4"/>
  <c r="Q105" i="4"/>
  <c r="Q35" i="4"/>
  <c r="Q91" i="4"/>
  <c r="L39" i="7"/>
  <c r="P35" i="5"/>
  <c r="Q73" i="4"/>
  <c r="N59" i="3"/>
  <c r="N70" i="3"/>
  <c r="N31" i="3"/>
  <c r="N24" i="3"/>
  <c r="N17" i="3"/>
  <c r="N122" i="3"/>
  <c r="N73" i="3"/>
  <c r="N38" i="3"/>
  <c r="N52" i="3"/>
  <c r="N101" i="3"/>
  <c r="N115" i="3"/>
  <c r="N94" i="3"/>
  <c r="N66" i="3"/>
  <c r="N45" i="3"/>
  <c r="N80" i="3"/>
  <c r="N10" i="3"/>
  <c r="N87" i="3"/>
  <c r="L95" i="7"/>
  <c r="O39" i="10"/>
  <c r="O31" i="10"/>
  <c r="O40" i="10"/>
  <c r="O16" i="9"/>
  <c r="O74" i="9"/>
  <c r="O10" i="9"/>
  <c r="Q20" i="8"/>
  <c r="Q73" i="8"/>
  <c r="L65" i="7"/>
  <c r="L9" i="7"/>
  <c r="L16" i="7"/>
  <c r="L19" i="7"/>
  <c r="L62" i="7"/>
  <c r="O93" i="6"/>
  <c r="O37" i="6"/>
  <c r="O58" i="6"/>
  <c r="O65" i="6"/>
  <c r="O51" i="6"/>
  <c r="O72" i="6"/>
  <c r="O86" i="6"/>
  <c r="O120" i="6"/>
  <c r="O106" i="6"/>
  <c r="O10" i="6"/>
  <c r="Q94" i="4"/>
  <c r="Q115" i="4"/>
  <c r="Q122" i="4"/>
  <c r="Q52" i="4"/>
  <c r="Q31" i="4"/>
  <c r="Q80" i="4"/>
  <c r="Q17" i="4"/>
  <c r="Q118" i="4"/>
  <c r="Q109" i="4"/>
  <c r="Q68" i="4"/>
  <c r="N100" i="3"/>
  <c r="N62" i="3"/>
  <c r="O119" i="10"/>
  <c r="O28" i="10"/>
  <c r="O11" i="10"/>
  <c r="O87" i="10"/>
  <c r="O125" i="10"/>
  <c r="O69" i="10"/>
  <c r="O118" i="10"/>
  <c r="O104" i="10"/>
  <c r="O112" i="10"/>
  <c r="O18" i="10"/>
  <c r="O101" i="10"/>
  <c r="O115" i="10"/>
  <c r="O98" i="10"/>
  <c r="O26" i="10"/>
  <c r="O36" i="10"/>
  <c r="O43" i="10"/>
  <c r="O8" i="10"/>
  <c r="O32" i="10"/>
  <c r="O124" i="10"/>
  <c r="O38" i="10"/>
  <c r="O80" i="10"/>
  <c r="O55" i="10"/>
  <c r="O57" i="10"/>
  <c r="O70" i="10"/>
  <c r="O21" i="10"/>
  <c r="O67" i="10"/>
  <c r="O5" i="10"/>
  <c r="O19" i="10"/>
  <c r="O120" i="10"/>
  <c r="O4" i="9"/>
  <c r="O102" i="9"/>
  <c r="O67" i="9"/>
  <c r="O60" i="9"/>
  <c r="O44" i="9"/>
  <c r="O52" i="9"/>
  <c r="O73" i="9"/>
  <c r="O6" i="9"/>
  <c r="O95" i="9"/>
  <c r="O87" i="9"/>
  <c r="O101" i="9"/>
  <c r="O38" i="9"/>
  <c r="Q36" i="8"/>
  <c r="Q98" i="8"/>
  <c r="Q56" i="8"/>
  <c r="Q87" i="8"/>
  <c r="Q115" i="8"/>
  <c r="Q24" i="8"/>
  <c r="Q45" i="8"/>
  <c r="Q108" i="8"/>
  <c r="Q104" i="8"/>
  <c r="Q28" i="8"/>
  <c r="Q101" i="8"/>
  <c r="Q64" i="8"/>
  <c r="Q81" i="8"/>
  <c r="Q52" i="8"/>
  <c r="Q10" i="8"/>
  <c r="Q76" i="8"/>
  <c r="Q78" i="8"/>
  <c r="Q105" i="8"/>
  <c r="Q123" i="8"/>
  <c r="Q39" i="8"/>
  <c r="Q54" i="8"/>
  <c r="L11" i="7"/>
  <c r="L83" i="7"/>
  <c r="L64" i="7"/>
  <c r="L33" i="7"/>
  <c r="L96" i="7"/>
  <c r="L13" i="7"/>
  <c r="L97" i="7"/>
  <c r="L103" i="7"/>
  <c r="L104" i="7"/>
  <c r="L6" i="7"/>
  <c r="L54" i="7"/>
  <c r="L109" i="7"/>
  <c r="L29" i="7"/>
  <c r="L26" i="7"/>
  <c r="L60" i="7"/>
  <c r="L46" i="7"/>
  <c r="L111" i="7"/>
  <c r="L118" i="7"/>
  <c r="L122" i="7"/>
  <c r="L52" i="7"/>
  <c r="L73" i="7"/>
  <c r="L24" i="7"/>
  <c r="L45" i="7"/>
  <c r="L89" i="7"/>
  <c r="L4" i="7"/>
  <c r="L81" i="7"/>
  <c r="L34" i="7"/>
  <c r="L17" i="7"/>
  <c r="L87" i="7"/>
  <c r="L108" i="7"/>
  <c r="L94" i="7"/>
  <c r="L8" i="7"/>
  <c r="L127" i="7"/>
  <c r="L15" i="7"/>
  <c r="L78" i="7"/>
  <c r="L43" i="7"/>
  <c r="L25" i="7"/>
  <c r="L123" i="7"/>
  <c r="L102" i="7"/>
  <c r="L67" i="7"/>
  <c r="L18" i="7"/>
  <c r="L120" i="7"/>
  <c r="L99" i="7"/>
  <c r="L36" i="7"/>
  <c r="L50" i="7"/>
  <c r="L40" i="7"/>
  <c r="L69" i="7"/>
  <c r="L47" i="7"/>
  <c r="L82" i="7"/>
  <c r="L88" i="7"/>
  <c r="L116" i="7"/>
  <c r="L74" i="7"/>
  <c r="L53" i="7"/>
  <c r="L76" i="7"/>
  <c r="L41" i="7"/>
  <c r="L125" i="7"/>
  <c r="L92" i="7"/>
  <c r="L85" i="7"/>
  <c r="L22" i="7"/>
  <c r="O79" i="6"/>
  <c r="O38" i="6"/>
  <c r="O60" i="6"/>
  <c r="O81" i="6"/>
  <c r="O25" i="6"/>
  <c r="O95" i="6"/>
  <c r="O94" i="6"/>
  <c r="O118" i="6"/>
  <c r="O102" i="6"/>
  <c r="O88" i="6"/>
  <c r="O109" i="6"/>
  <c r="O74" i="6"/>
  <c r="O11" i="6"/>
  <c r="O39" i="6"/>
  <c r="O67" i="6"/>
  <c r="O46" i="6"/>
  <c r="O123" i="6"/>
  <c r="O12" i="6"/>
  <c r="O24" i="6"/>
  <c r="O32" i="6"/>
  <c r="O4" i="6"/>
  <c r="O53" i="6"/>
  <c r="O18" i="6"/>
  <c r="O116" i="6"/>
  <c r="P15" i="5"/>
  <c r="P113" i="5"/>
  <c r="P57" i="5"/>
  <c r="P22" i="5"/>
  <c r="P106" i="5"/>
  <c r="P92" i="5"/>
  <c r="P97" i="5"/>
  <c r="P125" i="5"/>
  <c r="P74" i="5"/>
  <c r="P27" i="5"/>
  <c r="P78" i="5"/>
  <c r="P64" i="5"/>
  <c r="P8" i="5"/>
  <c r="P13" i="5"/>
  <c r="P99" i="5"/>
  <c r="P85" i="5"/>
  <c r="P43" i="5"/>
  <c r="Q18" i="4"/>
  <c r="Q67" i="4"/>
  <c r="Q53" i="4"/>
  <c r="Q25" i="4"/>
  <c r="Q81" i="4"/>
  <c r="Q123" i="4"/>
  <c r="Q6" i="4"/>
  <c r="Q11" i="4"/>
  <c r="Q116" i="4"/>
  <c r="Q69" i="4"/>
  <c r="Q41" i="4"/>
  <c r="Q125" i="4"/>
  <c r="Q111" i="4"/>
  <c r="Q55" i="4"/>
  <c r="Q83" i="4"/>
  <c r="Q20" i="4"/>
  <c r="Q62" i="4"/>
  <c r="Q76" i="4"/>
  <c r="Q27" i="4"/>
  <c r="Q48" i="4"/>
  <c r="Q95" i="4"/>
  <c r="Q60" i="4"/>
  <c r="Q88" i="4"/>
  <c r="Q30" i="4"/>
  <c r="Q33" i="4"/>
  <c r="Q97" i="4"/>
  <c r="Q104" i="4"/>
  <c r="Q34" i="4"/>
  <c r="Q90" i="4"/>
  <c r="Q74" i="4"/>
  <c r="Q102" i="4"/>
  <c r="Q4" i="4"/>
  <c r="Q44" i="4"/>
  <c r="Q108" i="4"/>
  <c r="Q45" i="4"/>
  <c r="Q24" i="4"/>
  <c r="Q87" i="4"/>
  <c r="Q117" i="4"/>
  <c r="Q12" i="4"/>
  <c r="Q101" i="4"/>
  <c r="Q10" i="4"/>
  <c r="Q59" i="4"/>
  <c r="Q66" i="4"/>
  <c r="Q13" i="4"/>
  <c r="Q46" i="4"/>
  <c r="N82" i="3"/>
  <c r="N40" i="3"/>
  <c r="N26" i="3"/>
  <c r="N27" i="3"/>
  <c r="N20" i="3"/>
  <c r="N97" i="3"/>
  <c r="N51" i="3"/>
  <c r="N48" i="3"/>
  <c r="N107" i="3"/>
  <c r="N111" i="3"/>
  <c r="N104" i="3"/>
  <c r="N90" i="3"/>
  <c r="N88" i="3"/>
  <c r="N39" i="3"/>
  <c r="N34" i="3"/>
  <c r="N76" i="3"/>
  <c r="N118" i="3"/>
  <c r="N6" i="3"/>
  <c r="N5" i="3"/>
  <c r="N4" i="3"/>
  <c r="N11" i="3"/>
  <c r="N41" i="3"/>
  <c r="N13" i="3"/>
  <c r="N125" i="3"/>
  <c r="N117" i="3"/>
  <c r="N95" i="3"/>
  <c r="N68" i="3"/>
  <c r="N47" i="3"/>
  <c r="N110" i="3"/>
  <c r="N124" i="3"/>
  <c r="N83" i="3"/>
  <c r="N53" i="3"/>
  <c r="N116" i="3"/>
  <c r="N18" i="3"/>
  <c r="N32" i="3"/>
  <c r="N109" i="3"/>
  <c r="N123" i="3"/>
  <c r="N54" i="3"/>
  <c r="N103" i="3"/>
  <c r="N19" i="3"/>
  <c r="N75" i="3"/>
  <c r="N86" i="3"/>
  <c r="N9" i="3"/>
  <c r="N37" i="3"/>
  <c r="N30" i="3"/>
  <c r="N81" i="3"/>
  <c r="N67" i="3"/>
  <c r="N102" i="3"/>
  <c r="N25" i="3"/>
  <c r="N46" i="3"/>
  <c r="N60" i="3"/>
  <c r="N74" i="3"/>
  <c r="N89" i="3"/>
  <c r="N96" i="3"/>
  <c r="N33" i="3"/>
  <c r="N61" i="3"/>
  <c r="N12" i="3"/>
  <c r="N79" i="3"/>
  <c r="N114" i="3"/>
  <c r="N44" i="3"/>
  <c r="N128" i="3"/>
  <c r="O24" i="10"/>
  <c r="O41" i="10"/>
  <c r="O20" i="10"/>
  <c r="O71" i="10"/>
  <c r="O29" i="10"/>
  <c r="O42" i="10"/>
  <c r="O63" i="10"/>
  <c r="O88" i="10"/>
  <c r="O4" i="10"/>
  <c r="O10" i="10"/>
  <c r="O122" i="10"/>
  <c r="O52" i="10"/>
  <c r="O59" i="10"/>
  <c r="O108" i="10"/>
  <c r="O45" i="10"/>
  <c r="O92" i="10"/>
  <c r="O113" i="10"/>
  <c r="O22" i="10"/>
  <c r="O35" i="10"/>
  <c r="O7" i="10"/>
  <c r="O49" i="10"/>
  <c r="O46" i="10"/>
  <c r="O95" i="10"/>
  <c r="O86" i="10"/>
  <c r="O103" i="10"/>
  <c r="O51" i="10"/>
  <c r="O89" i="10"/>
  <c r="O37" i="10"/>
  <c r="O96" i="10"/>
  <c r="O54" i="10"/>
  <c r="O75" i="10"/>
  <c r="O107" i="10"/>
  <c r="O16" i="10"/>
  <c r="O100" i="10"/>
  <c r="O61" i="10"/>
  <c r="O9" i="10"/>
  <c r="O47" i="10"/>
  <c r="O23" i="10"/>
  <c r="O30" i="10"/>
  <c r="O72" i="10"/>
  <c r="O128" i="10"/>
  <c r="O82" i="10"/>
  <c r="O44" i="10"/>
  <c r="O58" i="10"/>
  <c r="O65" i="10"/>
  <c r="O68" i="10"/>
  <c r="O110" i="10"/>
  <c r="O12" i="10"/>
  <c r="O79" i="10"/>
  <c r="O114" i="10"/>
  <c r="O6" i="10"/>
  <c r="O93" i="10"/>
  <c r="O76" i="10"/>
  <c r="O83" i="10"/>
  <c r="O111" i="10"/>
  <c r="O99" i="10"/>
  <c r="O15" i="10"/>
  <c r="O50" i="10"/>
  <c r="O91" i="10"/>
  <c r="O77" i="10"/>
  <c r="O126" i="10"/>
  <c r="O116" i="10"/>
  <c r="O81" i="10"/>
  <c r="O74" i="10"/>
  <c r="O102" i="10"/>
  <c r="O25" i="10"/>
  <c r="O97" i="10"/>
  <c r="O94" i="10"/>
  <c r="O33" i="10"/>
  <c r="O117" i="10"/>
  <c r="O66" i="10"/>
  <c r="O73" i="10"/>
  <c r="O17" i="10"/>
  <c r="O78" i="10"/>
  <c r="O106" i="10"/>
  <c r="O127" i="10"/>
  <c r="O64" i="10"/>
  <c r="O14" i="10"/>
  <c r="O56" i="10"/>
  <c r="O84" i="10"/>
  <c r="O123" i="10"/>
  <c r="O109" i="10"/>
  <c r="O60" i="10"/>
  <c r="O53" i="10"/>
  <c r="O13" i="10"/>
  <c r="O27" i="10"/>
  <c r="O90" i="10"/>
  <c r="O62" i="10"/>
  <c r="O48" i="10"/>
  <c r="O42" i="9"/>
  <c r="O41" i="9"/>
  <c r="O17" i="9"/>
  <c r="O84" i="9"/>
  <c r="O7" i="9"/>
  <c r="O105" i="9"/>
  <c r="O25" i="9"/>
  <c r="O72" i="9"/>
  <c r="O112" i="9"/>
  <c r="O118" i="9"/>
  <c r="O119" i="9"/>
  <c r="O76" i="9"/>
  <c r="O24" i="9"/>
  <c r="O27" i="9"/>
  <c r="O98" i="9"/>
  <c r="O56" i="9"/>
  <c r="O88" i="9"/>
  <c r="O123" i="9"/>
  <c r="O30" i="9"/>
  <c r="O125" i="9"/>
  <c r="O122" i="9"/>
  <c r="O59" i="9"/>
  <c r="O108" i="9"/>
  <c r="O45" i="9"/>
  <c r="O115" i="9"/>
  <c r="O70" i="9"/>
  <c r="O65" i="9"/>
  <c r="O63" i="9"/>
  <c r="O21" i="9"/>
  <c r="O81" i="9"/>
  <c r="O116" i="9"/>
  <c r="O79" i="9"/>
  <c r="O51" i="9"/>
  <c r="O94" i="9"/>
  <c r="O80" i="9"/>
  <c r="O31" i="9"/>
  <c r="O66" i="9"/>
  <c r="O48" i="9"/>
  <c r="O69" i="9"/>
  <c r="O83" i="9"/>
  <c r="O35" i="9"/>
  <c r="O49" i="9"/>
  <c r="O28" i="9"/>
  <c r="O128" i="9"/>
  <c r="O32" i="9"/>
  <c r="O46" i="9"/>
  <c r="O18" i="9"/>
  <c r="O9" i="9"/>
  <c r="O23" i="9"/>
  <c r="O104" i="9"/>
  <c r="O34" i="9"/>
  <c r="O62" i="9"/>
  <c r="O55" i="9"/>
  <c r="O107" i="9"/>
  <c r="O91" i="9"/>
  <c r="O126" i="9"/>
  <c r="O77" i="9"/>
  <c r="O11" i="9"/>
  <c r="O39" i="9"/>
  <c r="O53" i="9"/>
  <c r="O58" i="9"/>
  <c r="O86" i="9"/>
  <c r="O114" i="9"/>
  <c r="O37" i="9"/>
  <c r="O93" i="9"/>
  <c r="O121" i="9"/>
  <c r="O99" i="9"/>
  <c r="O29" i="9"/>
  <c r="O43" i="9"/>
  <c r="O22" i="9"/>
  <c r="O106" i="9"/>
  <c r="O50" i="9"/>
  <c r="O64" i="9"/>
  <c r="O120" i="9"/>
  <c r="O57" i="9"/>
  <c r="O113" i="9"/>
  <c r="O71" i="9"/>
  <c r="O127" i="9"/>
  <c r="O8" i="9"/>
  <c r="O78" i="9"/>
  <c r="O15" i="9"/>
  <c r="O36" i="9"/>
  <c r="O92" i="9"/>
  <c r="O85" i="9"/>
  <c r="O61" i="9"/>
  <c r="O124" i="9"/>
  <c r="O26" i="9"/>
  <c r="O103" i="9"/>
  <c r="O54" i="9"/>
  <c r="O75" i="9"/>
  <c r="O33" i="9"/>
  <c r="O96" i="9"/>
  <c r="O110" i="9"/>
  <c r="O47" i="9"/>
  <c r="O117" i="9"/>
  <c r="O5" i="9"/>
  <c r="O68" i="9"/>
  <c r="O82" i="9"/>
  <c r="O89" i="9"/>
  <c r="O12" i="9"/>
  <c r="O40" i="9"/>
  <c r="O19" i="9"/>
  <c r="O20" i="9"/>
  <c r="O13" i="9"/>
  <c r="O97" i="9"/>
  <c r="O90" i="9"/>
  <c r="O111" i="9"/>
  <c r="Q6" i="8"/>
  <c r="Q80" i="8"/>
  <c r="Q62" i="8"/>
  <c r="Q48" i="8"/>
  <c r="Q57" i="8"/>
  <c r="Q21" i="8"/>
  <c r="Q4" i="8"/>
  <c r="Q92" i="8"/>
  <c r="Q35" i="8"/>
  <c r="Q63" i="8"/>
  <c r="Q109" i="8"/>
  <c r="Q58" i="8"/>
  <c r="Q51" i="8"/>
  <c r="Q114" i="8"/>
  <c r="Q9" i="8"/>
  <c r="Q107" i="8"/>
  <c r="Q128" i="8"/>
  <c r="Q16" i="8"/>
  <c r="Q121" i="8"/>
  <c r="Q65" i="8"/>
  <c r="Q100" i="8"/>
  <c r="Q93" i="8"/>
  <c r="Q31" i="8"/>
  <c r="Q59" i="8"/>
  <c r="Q94" i="8"/>
  <c r="Q37" i="8"/>
  <c r="Q23" i="8"/>
  <c r="Q122" i="8"/>
  <c r="Q99" i="8"/>
  <c r="Q127" i="8"/>
  <c r="Q70" i="8"/>
  <c r="Q126" i="8"/>
  <c r="Q53" i="8"/>
  <c r="Q18" i="8"/>
  <c r="Q34" i="8"/>
  <c r="Q13" i="8"/>
  <c r="Q90" i="8"/>
  <c r="Q72" i="8"/>
  <c r="Q69" i="8"/>
  <c r="Q55" i="8"/>
  <c r="Q15" i="8"/>
  <c r="Q43" i="8"/>
  <c r="Q120" i="8"/>
  <c r="Q77" i="8"/>
  <c r="Q49" i="8"/>
  <c r="Q88" i="8"/>
  <c r="Q25" i="8"/>
  <c r="Q60" i="8"/>
  <c r="Q82" i="8"/>
  <c r="Q47" i="8"/>
  <c r="Q110" i="8"/>
  <c r="Q33" i="8"/>
  <c r="Q96" i="8"/>
  <c r="Q75" i="8"/>
  <c r="Q5" i="8"/>
  <c r="Q26" i="8"/>
  <c r="Q12" i="8"/>
  <c r="Q124" i="8"/>
  <c r="Q103" i="8"/>
  <c r="Q117" i="8"/>
  <c r="Q89" i="8"/>
  <c r="Q68" i="8"/>
  <c r="Q61" i="8"/>
  <c r="Q40" i="8"/>
  <c r="Q19" i="8"/>
  <c r="Q125" i="8"/>
  <c r="Q17" i="8"/>
  <c r="Q41" i="8"/>
  <c r="Q66" i="8"/>
  <c r="Q111" i="8"/>
  <c r="Q27" i="8"/>
  <c r="Q38" i="8"/>
  <c r="Q50" i="8"/>
  <c r="Q29" i="8"/>
  <c r="Q22" i="8"/>
  <c r="Q7" i="8"/>
  <c r="Q84" i="8"/>
  <c r="Q119" i="8"/>
  <c r="Q102" i="8"/>
  <c r="Q116" i="8"/>
  <c r="Q11" i="8"/>
  <c r="Q95" i="8"/>
  <c r="Q30" i="8"/>
  <c r="Q44" i="8"/>
  <c r="Q79" i="8"/>
  <c r="Q97" i="8"/>
  <c r="Q118" i="8"/>
  <c r="Q83" i="8"/>
  <c r="Q71" i="8"/>
  <c r="Q85" i="8"/>
  <c r="Q113" i="8"/>
  <c r="Q106" i="8"/>
  <c r="Q91" i="8"/>
  <c r="Q112" i="8"/>
  <c r="Q42" i="8"/>
  <c r="Q46" i="8"/>
  <c r="Q67" i="8"/>
  <c r="Q74" i="8"/>
  <c r="Q32" i="8"/>
  <c r="L68" i="7"/>
  <c r="L12" i="7"/>
  <c r="L61" i="7"/>
  <c r="L117" i="7"/>
  <c r="L44" i="7"/>
  <c r="L27" i="7"/>
  <c r="L48" i="7"/>
  <c r="L55" i="7"/>
  <c r="L90" i="7"/>
  <c r="L5" i="7"/>
  <c r="L75" i="7"/>
  <c r="L124" i="7"/>
  <c r="L110" i="7"/>
  <c r="L51" i="7"/>
  <c r="L128" i="7"/>
  <c r="L121" i="7"/>
  <c r="L37" i="7"/>
  <c r="L114" i="7"/>
  <c r="L100" i="7"/>
  <c r="L107" i="7"/>
  <c r="L30" i="7"/>
  <c r="L86" i="7"/>
  <c r="L23" i="7"/>
  <c r="L72" i="7"/>
  <c r="L93" i="7"/>
  <c r="L79" i="7"/>
  <c r="O48" i="6"/>
  <c r="O7" i="6"/>
  <c r="O42" i="6"/>
  <c r="O59" i="6"/>
  <c r="O63" i="6"/>
  <c r="O17" i="6"/>
  <c r="O122" i="6"/>
  <c r="O70" i="6"/>
  <c r="O45" i="6"/>
  <c r="O52" i="6"/>
  <c r="O77" i="6"/>
  <c r="O115" i="6"/>
  <c r="O47" i="6"/>
  <c r="O92" i="6"/>
  <c r="O87" i="6"/>
  <c r="O31" i="6"/>
  <c r="O80" i="6"/>
  <c r="O28" i="6"/>
  <c r="O127" i="6"/>
  <c r="O16" i="6"/>
  <c r="O100" i="6"/>
  <c r="O23" i="6"/>
  <c r="O117" i="6"/>
  <c r="O98" i="6"/>
  <c r="O14" i="6"/>
  <c r="O49" i="6"/>
  <c r="O56" i="6"/>
  <c r="O19" i="6"/>
  <c r="O85" i="6"/>
  <c r="O36" i="6"/>
  <c r="O125" i="6"/>
  <c r="O66" i="6"/>
  <c r="O101" i="6"/>
  <c r="O73" i="6"/>
  <c r="O108" i="6"/>
  <c r="O35" i="6"/>
  <c r="O112" i="6"/>
  <c r="O110" i="6"/>
  <c r="O26" i="6"/>
  <c r="O64" i="6"/>
  <c r="O8" i="6"/>
  <c r="O114" i="6"/>
  <c r="O107" i="6"/>
  <c r="O9" i="6"/>
  <c r="O5" i="6"/>
  <c r="O54" i="6"/>
  <c r="O61" i="6"/>
  <c r="O89" i="6"/>
  <c r="O33" i="6"/>
  <c r="O97" i="6"/>
  <c r="O111" i="6"/>
  <c r="O6" i="6"/>
  <c r="O103" i="6"/>
  <c r="O96" i="6"/>
  <c r="O40" i="6"/>
  <c r="O82" i="6"/>
  <c r="O57" i="6"/>
  <c r="O78" i="6"/>
  <c r="O99" i="6"/>
  <c r="O22" i="6"/>
  <c r="O43" i="6"/>
  <c r="O27" i="6"/>
  <c r="O20" i="6"/>
  <c r="O119" i="6"/>
  <c r="O105" i="6"/>
  <c r="O55" i="6"/>
  <c r="O68" i="6"/>
  <c r="O75" i="6"/>
  <c r="O124" i="6"/>
  <c r="O50" i="6"/>
  <c r="O71" i="6"/>
  <c r="O15" i="6"/>
  <c r="O113" i="6"/>
  <c r="O30" i="6"/>
  <c r="O121" i="6"/>
  <c r="O128" i="6"/>
  <c r="O13" i="6"/>
  <c r="O34" i="6"/>
  <c r="O76" i="6"/>
  <c r="O83" i="6"/>
  <c r="O90" i="6"/>
  <c r="O69" i="6"/>
  <c r="O41" i="6"/>
  <c r="O104" i="6"/>
  <c r="O91" i="6"/>
  <c r="O21" i="6"/>
  <c r="O84" i="6"/>
  <c r="O62" i="6"/>
  <c r="P20" i="5"/>
  <c r="P36" i="5"/>
  <c r="P127" i="5"/>
  <c r="P120" i="5"/>
  <c r="P71" i="5"/>
  <c r="P29" i="5"/>
  <c r="P112" i="5"/>
  <c r="P118" i="5"/>
  <c r="P18" i="5"/>
  <c r="P34" i="5"/>
  <c r="P62" i="5"/>
  <c r="P91" i="5"/>
  <c r="P41" i="5"/>
  <c r="P6" i="5"/>
  <c r="P104" i="5"/>
  <c r="P102" i="5"/>
  <c r="P88" i="5"/>
  <c r="P123" i="5"/>
  <c r="P60" i="5"/>
  <c r="P25" i="5"/>
  <c r="P46" i="5"/>
  <c r="P111" i="5"/>
  <c r="P83" i="5"/>
  <c r="P48" i="5"/>
  <c r="P42" i="5"/>
  <c r="P77" i="5"/>
  <c r="P84" i="5"/>
  <c r="P14" i="5"/>
  <c r="P63" i="5"/>
  <c r="P70" i="5"/>
  <c r="P28" i="5"/>
  <c r="P56" i="5"/>
  <c r="P119" i="5"/>
  <c r="P55" i="5"/>
  <c r="P76" i="5"/>
  <c r="P69" i="5"/>
  <c r="P90" i="5"/>
  <c r="P5" i="5"/>
  <c r="P19" i="5"/>
  <c r="P47" i="5"/>
  <c r="P82" i="5"/>
  <c r="P110" i="5"/>
  <c r="P124" i="5"/>
  <c r="P54" i="5"/>
  <c r="P68" i="5"/>
  <c r="P75" i="5"/>
  <c r="P96" i="5"/>
  <c r="P103" i="5"/>
  <c r="P101" i="5"/>
  <c r="P10" i="5"/>
  <c r="P115" i="5"/>
  <c r="P108" i="5"/>
  <c r="P17" i="5"/>
  <c r="P45" i="5"/>
  <c r="P73" i="5"/>
  <c r="P59" i="5"/>
  <c r="P52" i="5"/>
  <c r="P31" i="5"/>
  <c r="P38" i="5"/>
  <c r="P87" i="5"/>
  <c r="P66" i="5"/>
  <c r="P94" i="5"/>
  <c r="P122" i="5"/>
  <c r="P24" i="5"/>
  <c r="P80" i="5"/>
  <c r="P40" i="5"/>
  <c r="P26" i="5"/>
  <c r="P89" i="5"/>
  <c r="P39" i="5"/>
  <c r="P109" i="5"/>
  <c r="P4" i="5"/>
  <c r="P11" i="5"/>
  <c r="P53" i="5"/>
  <c r="P67" i="5"/>
  <c r="P32" i="5"/>
  <c r="P12" i="5"/>
  <c r="P117" i="5"/>
  <c r="P7" i="5"/>
  <c r="P105" i="5"/>
  <c r="P81" i="5"/>
  <c r="P95" i="5"/>
  <c r="P33" i="5"/>
  <c r="P49" i="5"/>
  <c r="P61" i="5"/>
  <c r="P21" i="5"/>
  <c r="P116" i="5"/>
  <c r="P98" i="5"/>
  <c r="P126" i="5"/>
  <c r="P44" i="5"/>
  <c r="P65" i="5"/>
  <c r="P121" i="5"/>
  <c r="P16" i="5"/>
  <c r="P128" i="5"/>
  <c r="P107" i="5"/>
  <c r="P93" i="5"/>
  <c r="P72" i="5"/>
  <c r="P51" i="5"/>
  <c r="P58" i="5"/>
  <c r="P86" i="5"/>
  <c r="P114" i="5"/>
  <c r="P30" i="5"/>
  <c r="P37" i="5"/>
  <c r="P23" i="5"/>
  <c r="P9" i="5"/>
  <c r="P100" i="5"/>
  <c r="P79" i="5"/>
  <c r="Q93" i="4"/>
  <c r="Q32" i="4"/>
  <c r="Q39" i="4"/>
  <c r="Q51" i="4"/>
  <c r="Q82" i="4"/>
  <c r="Q5" i="4"/>
  <c r="Q100" i="4"/>
  <c r="Q96" i="4"/>
  <c r="Q89" i="4"/>
  <c r="Q37" i="4"/>
  <c r="Q40" i="4"/>
  <c r="Q110" i="4"/>
  <c r="Q86" i="4"/>
  <c r="Q57" i="4"/>
  <c r="Q120" i="4"/>
  <c r="Q78" i="4"/>
  <c r="Q106" i="4"/>
  <c r="Q43" i="4"/>
  <c r="Q50" i="4"/>
  <c r="Q99" i="4"/>
  <c r="Q8" i="4"/>
  <c r="Q22" i="4"/>
  <c r="Q128" i="4"/>
  <c r="Q61" i="4"/>
  <c r="Q121" i="4"/>
  <c r="Q75" i="4"/>
  <c r="Q19" i="4"/>
  <c r="Q92" i="4"/>
  <c r="Q64" i="4"/>
  <c r="Q113" i="4"/>
  <c r="Q29" i="4"/>
  <c r="Q127" i="4"/>
  <c r="Q103" i="4"/>
  <c r="Q47" i="4"/>
  <c r="Q26" i="4"/>
  <c r="Q71" i="4"/>
  <c r="Q15" i="4"/>
  <c r="Q36" i="4"/>
  <c r="Q65" i="4"/>
  <c r="Q72" i="4"/>
  <c r="Q54" i="4"/>
  <c r="Q114" i="4"/>
  <c r="Q16" i="4"/>
  <c r="Q23" i="4"/>
  <c r="Q107" i="4"/>
  <c r="Q9" i="4"/>
  <c r="Q79" i="4"/>
  <c r="Q124" i="4"/>
  <c r="N55" i="3"/>
  <c r="N69" i="3"/>
  <c r="N65" i="3"/>
  <c r="N121" i="3"/>
  <c r="N98" i="3"/>
  <c r="N126" i="3"/>
  <c r="N112" i="3"/>
  <c r="N91" i="3"/>
  <c r="N28" i="3"/>
  <c r="N42" i="3"/>
  <c r="N14" i="3"/>
  <c r="N56" i="3"/>
  <c r="N49" i="3"/>
  <c r="N105" i="3"/>
  <c r="N84" i="3"/>
  <c r="N35" i="3"/>
  <c r="N77" i="3"/>
  <c r="N7" i="3"/>
  <c r="N63" i="3"/>
  <c r="N119" i="3"/>
  <c r="N21" i="3"/>
</calcChain>
</file>

<file path=xl/sharedStrings.xml><?xml version="1.0" encoding="utf-8"?>
<sst xmlns="http://schemas.openxmlformats.org/spreadsheetml/2006/main" count="5439" uniqueCount="89">
  <si>
    <t>Date</t>
  </si>
  <si>
    <t>Type of day</t>
  </si>
  <si>
    <t>Temperature</t>
  </si>
  <si>
    <t>Humidity</t>
  </si>
  <si>
    <t>Tuesday</t>
  </si>
  <si>
    <t>Wednesday</t>
  </si>
  <si>
    <t>Thursday</t>
  </si>
  <si>
    <t>Friday</t>
  </si>
  <si>
    <t>Saturday</t>
  </si>
  <si>
    <t>Sunday</t>
  </si>
  <si>
    <t>Monday</t>
  </si>
  <si>
    <t>Cold</t>
  </si>
  <si>
    <t>Very dry</t>
  </si>
  <si>
    <t>No</t>
  </si>
  <si>
    <t>Cool</t>
  </si>
  <si>
    <t>Dry</t>
  </si>
  <si>
    <t>Humid</t>
  </si>
  <si>
    <t>Manchester</t>
  </si>
  <si>
    <t>Glastonbury</t>
  </si>
  <si>
    <t>Hartford</t>
  </si>
  <si>
    <t>Windsor</t>
  </si>
  <si>
    <t>Bloomfield</t>
  </si>
  <si>
    <t>Farmington</t>
  </si>
  <si>
    <t>Southington</t>
  </si>
  <si>
    <t>West Hartford</t>
  </si>
  <si>
    <t>Day</t>
  </si>
  <si>
    <t>Mild</t>
  </si>
  <si>
    <t>Boxes per Region/Distribution Center</t>
  </si>
  <si>
    <t>Festive Day?</t>
  </si>
  <si>
    <t>Very humid</t>
  </si>
  <si>
    <t>Yes</t>
  </si>
  <si>
    <t>Warm</t>
  </si>
  <si>
    <t>Very Humid</t>
  </si>
  <si>
    <t>FestivalDay</t>
  </si>
  <si>
    <t>Time Index</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</si>
  <si>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</si>
  <si>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</si>
  <si>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</si>
  <si>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</si>
  <si>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</si>
  <si>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</si>
  <si>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</si>
  <si>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</si>
  <si>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</si>
  <si>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</si>
  <si>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</si>
  <si>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</si>
  <si>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</si>
  <si>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</si>
  <si>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</si>
  <si>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</si>
  <si>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</si>
  <si>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</si>
  <si>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</si>
  <si>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</si>
  <si>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</si>
  <si>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</si>
  <si>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Mild, Dry, Very Humid, Humid, Cool are  removed from the regression as it doesn’t have significant p value</t>
  </si>
  <si>
    <t>Predicted</t>
  </si>
  <si>
    <t>MSE</t>
  </si>
  <si>
    <t xml:space="preserve">Mild Dry are removed </t>
  </si>
  <si>
    <t>Mild, Very Humid, Warm</t>
  </si>
  <si>
    <t>Dry, Very Humid, Humid, Cold, Mild, Warm, Cool, FestivalDay, Time Index</t>
  </si>
  <si>
    <t>Y/Yhat</t>
  </si>
  <si>
    <t>Seasonal Index</t>
  </si>
  <si>
    <t>WeekDay</t>
  </si>
  <si>
    <t>Adjusted Predicted Value</t>
  </si>
  <si>
    <t>Adjusted MSE</t>
  </si>
  <si>
    <t>FestiveDay</t>
  </si>
  <si>
    <t>Prediction Interval</t>
  </si>
  <si>
    <t>Very Dry</t>
  </si>
  <si>
    <t>Metric</t>
  </si>
  <si>
    <t>Value</t>
  </si>
  <si>
    <t xml:space="preserve">Metric </t>
  </si>
  <si>
    <t>Sl.No</t>
  </si>
  <si>
    <t>City</t>
  </si>
  <si>
    <t>Significance F value</t>
  </si>
  <si>
    <t xml:space="preserve">MSE </t>
  </si>
  <si>
    <t xml:space="preserve">Monday </t>
  </si>
  <si>
    <t>Adj MSE</t>
  </si>
  <si>
    <t>Seasonal Indices</t>
  </si>
  <si>
    <t>BloomField</t>
  </si>
  <si>
    <t>Note:</t>
  </si>
  <si>
    <t>Model Summary sheet is the last sheet in the excel</t>
  </si>
  <si>
    <t>Positive trend variables</t>
  </si>
  <si>
    <t>P values of all the variables are significant</t>
  </si>
  <si>
    <t>Lower 95.0%</t>
  </si>
  <si>
    <t>Upper 95.0%</t>
  </si>
  <si>
    <t>We added this button in the sheet as the revise button in the compute forcecast form is deviating the meaning of form.Revise models button is an additional feature provided to the user to quickly revise the models without opening the compute forecasts 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</si>
</sst>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7"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i/>
      <sz val="11"/>
      <color theme="1"/>
      <name val="Calibri"/>
      <family val="2"/>
      <scheme val="minor"/>
    </font>
    <font>
      <b/>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4"/>
      </patternFill>
    </fill>
    <fill>
      <patternFill patternType="solid">
        <fgColor theme="0" tint="-0.249977111117893"/>
        <bgColor indexed="64"/>
      </patternFill>
    </fill>
    <fill>
      <patternFill patternType="solid">
        <fgColor rgb="FF0070C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2" fillId="2" borderId="0" applyNumberFormat="0" applyBorder="0" applyAlignment="0" applyProtection="0"/>
  </cellStyleXfs>
  <cellXfs count="70">
    <xf numFmtId="0" fontId="0" fillId="0" borderId="0" xfId="0"/>
    <xf numFmtId="0" fontId="0" fillId="0" borderId="0" xfId="0" applyAlignment="1">
      <alignment horizontal="center"/>
    </xf>
    <xf numFmtId="164" fontId="0" fillId="0" borderId="0" xfId="0" applyNumberFormat="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64" fontId="0" fillId="0" borderId="2" xfId="0" applyNumberFormat="1" applyBorder="1" applyAlignment="1">
      <alignment horizontal="center"/>
    </xf>
    <xf numFmtId="164" fontId="0" fillId="0" borderId="4" xfId="0" applyNumberFormat="1" applyBorder="1" applyAlignment="1">
      <alignment horizontal="center"/>
    </xf>
    <xf numFmtId="164" fontId="1" fillId="2" borderId="11" xfId="1" applyNumberFormat="1" applyFont="1" applyBorder="1" applyAlignment="1">
      <alignment horizontal="center"/>
    </xf>
    <xf numFmtId="0" fontId="1" fillId="2" borderId="12" xfId="1" applyFont="1" applyBorder="1" applyAlignment="1">
      <alignment horizontal="center"/>
    </xf>
    <xf numFmtId="0" fontId="1" fillId="2" borderId="11" xfId="1" applyFont="1" applyBorder="1" applyAlignment="1">
      <alignment horizontal="center"/>
    </xf>
    <xf numFmtId="0" fontId="1" fillId="2" borderId="13" xfId="1" applyFont="1" applyBorder="1" applyAlignment="1">
      <alignment horizontal="center"/>
    </xf>
    <xf numFmtId="0" fontId="1" fillId="2" borderId="14" xfId="1" applyFont="1" applyBorder="1" applyAlignment="1">
      <alignment horizontal="center"/>
    </xf>
    <xf numFmtId="0" fontId="1" fillId="2" borderId="15" xfId="1" applyFont="1" applyBorder="1" applyAlignment="1">
      <alignment horizontal="center"/>
    </xf>
    <xf numFmtId="164" fontId="0" fillId="0" borderId="16" xfId="0" applyNumberFormat="1" applyBorder="1" applyAlignment="1">
      <alignment horizontal="center"/>
    </xf>
    <xf numFmtId="0" fontId="0" fillId="0" borderId="17" xfId="0"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Border="1"/>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1" fillId="2" borderId="10" xfId="1" applyFont="1" applyBorder="1" applyAlignment="1">
      <alignment horizontal="center"/>
    </xf>
    <xf numFmtId="0" fontId="0" fillId="0" borderId="0" xfId="0" applyFill="1" applyBorder="1" applyAlignment="1"/>
    <xf numFmtId="0" fontId="0" fillId="0" borderId="25" xfId="0" applyFill="1" applyBorder="1" applyAlignment="1"/>
    <xf numFmtId="0" fontId="4" fillId="0" borderId="26" xfId="0" applyFont="1" applyFill="1" applyBorder="1" applyAlignment="1">
      <alignment horizontal="center"/>
    </xf>
    <xf numFmtId="0" fontId="4" fillId="0" borderId="26" xfId="0" applyFont="1" applyFill="1" applyBorder="1" applyAlignment="1">
      <alignment horizontal="centerContinuous"/>
    </xf>
    <xf numFmtId="0" fontId="3" fillId="0" borderId="0" xfId="0" applyFont="1"/>
    <xf numFmtId="0" fontId="3" fillId="3" borderId="1" xfId="0" applyFont="1" applyFill="1" applyBorder="1"/>
    <xf numFmtId="0" fontId="0" fillId="0" borderId="1" xfId="0" applyBorder="1"/>
    <xf numFmtId="14" fontId="0" fillId="0" borderId="0" xfId="0" applyNumberFormat="1"/>
    <xf numFmtId="0" fontId="1" fillId="4" borderId="28" xfId="0" applyFont="1" applyFill="1" applyBorder="1"/>
    <xf numFmtId="0" fontId="1" fillId="4" borderId="27" xfId="0" applyFont="1" applyFill="1" applyBorder="1"/>
    <xf numFmtId="0" fontId="3" fillId="3" borderId="28" xfId="0" applyFont="1" applyFill="1" applyBorder="1"/>
    <xf numFmtId="0" fontId="0" fillId="0" borderId="29" xfId="0" applyBorder="1"/>
    <xf numFmtId="0" fontId="0" fillId="0" borderId="30" xfId="0" applyBorder="1"/>
    <xf numFmtId="0" fontId="0" fillId="0" borderId="4" xfId="0" applyBorder="1"/>
    <xf numFmtId="0" fontId="0" fillId="0" borderId="6" xfId="0" applyBorder="1"/>
    <xf numFmtId="0" fontId="3" fillId="0" borderId="0" xfId="0" applyFont="1" applyFill="1" applyBorder="1" applyAlignment="1"/>
    <xf numFmtId="0" fontId="0" fillId="0" borderId="0" xfId="0" applyBorder="1" applyAlignment="1">
      <alignment horizontal="center"/>
    </xf>
    <xf numFmtId="0" fontId="1" fillId="2" borderId="31" xfId="1" applyFont="1" applyBorder="1" applyAlignment="1">
      <alignment horizontal="center"/>
    </xf>
    <xf numFmtId="0" fontId="1" fillId="2" borderId="30" xfId="1" applyFont="1" applyBorder="1" applyAlignment="1">
      <alignment horizontal="center"/>
    </xf>
    <xf numFmtId="0" fontId="0" fillId="0" borderId="3" xfId="0" applyBorder="1"/>
    <xf numFmtId="0" fontId="0" fillId="0" borderId="32" xfId="0" applyBorder="1" applyAlignment="1">
      <alignment horizontal="center"/>
    </xf>
    <xf numFmtId="0" fontId="0" fillId="0" borderId="5" xfId="0" applyBorder="1"/>
    <xf numFmtId="0" fontId="3" fillId="3" borderId="29" xfId="0" applyFont="1" applyFill="1" applyBorder="1"/>
    <xf numFmtId="0" fontId="3" fillId="3" borderId="30" xfId="0" applyFont="1" applyFill="1" applyBorder="1"/>
    <xf numFmtId="164" fontId="1" fillId="2" borderId="29" xfId="1" applyNumberFormat="1" applyFont="1" applyBorder="1" applyAlignment="1">
      <alignment horizontal="center"/>
    </xf>
    <xf numFmtId="0" fontId="1" fillId="2" borderId="33" xfId="1" applyFont="1" applyBorder="1" applyAlignment="1">
      <alignment horizontal="center"/>
    </xf>
    <xf numFmtId="0" fontId="0" fillId="0" borderId="2" xfId="0" applyBorder="1"/>
    <xf numFmtId="0" fontId="1" fillId="2" borderId="29" xfId="1" applyFont="1" applyBorder="1" applyAlignment="1">
      <alignment horizontal="center"/>
    </xf>
    <xf numFmtId="0" fontId="6" fillId="0" borderId="0" xfId="0" applyFont="1"/>
    <xf numFmtId="0" fontId="1" fillId="2" borderId="10" xfId="1" applyFont="1" applyBorder="1" applyAlignment="1">
      <alignment horizontal="center"/>
    </xf>
    <xf numFmtId="0" fontId="1" fillId="2" borderId="8" xfId="1" applyFont="1" applyBorder="1" applyAlignment="1">
      <alignment horizontal="center"/>
    </xf>
    <xf numFmtId="0" fontId="1" fillId="2" borderId="9" xfId="1" applyFont="1" applyBorder="1" applyAlignment="1">
      <alignment horizontal="center"/>
    </xf>
    <xf numFmtId="0" fontId="1" fillId="2" borderId="7" xfId="1" applyFont="1" applyBorder="1" applyAlignment="1">
      <alignment horizontal="center"/>
    </xf>
    <xf numFmtId="0" fontId="1" fillId="4" borderId="11" xfId="0" applyFont="1" applyFill="1" applyBorder="1" applyAlignment="1">
      <alignment horizontal="center"/>
    </xf>
    <xf numFmtId="0" fontId="1" fillId="4" borderId="13" xfId="0" applyFont="1" applyFill="1" applyBorder="1" applyAlignment="1">
      <alignment horizontal="center"/>
    </xf>
    <xf numFmtId="0" fontId="1" fillId="4" borderId="14" xfId="0" applyFont="1" applyFill="1" applyBorder="1" applyAlignment="1">
      <alignment horizontal="center"/>
    </xf>
    <xf numFmtId="0" fontId="1" fillId="4" borderId="34" xfId="0" applyFont="1" applyFill="1" applyBorder="1"/>
    <xf numFmtId="0" fontId="1" fillId="4" borderId="0" xfId="0" applyFont="1" applyFill="1" applyBorder="1"/>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15" xfId="0" applyFont="1" applyFill="1" applyBorder="1" applyAlignment="1">
      <alignment horizontal="center"/>
    </xf>
  </cellXfs>
  <cellStyles count="2">
    <cellStyle name="Accent1" xfId="1" builtinId="29"/>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xdr:colOff>
          <xdr:row>2</xdr:row>
          <xdr:rowOff>182880</xdr:rowOff>
        </xdr:from>
        <xdr:to>
          <xdr:col>19</xdr:col>
          <xdr:colOff>0</xdr:colOff>
          <xdr:row>5</xdr:row>
          <xdr:rowOff>15240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Revise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xdr:row>
          <xdr:rowOff>7620</xdr:rowOff>
        </xdr:from>
        <xdr:to>
          <xdr:col>19</xdr:col>
          <xdr:colOff>0</xdr:colOff>
          <xdr:row>8</xdr:row>
          <xdr:rowOff>7620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Add Order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8</xdr:row>
          <xdr:rowOff>175260</xdr:rowOff>
        </xdr:from>
        <xdr:to>
          <xdr:col>19</xdr:col>
          <xdr:colOff>0</xdr:colOff>
          <xdr:row>11</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Compute Forecasts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AA138"/>
  <sheetViews>
    <sheetView topLeftCell="D34" workbookViewId="0">
      <selection activeCell="AB34" sqref="AB34"/>
    </sheetView>
  </sheetViews>
  <sheetFormatPr defaultRowHeight="14.4" x14ac:dyDescent="0.3"/>
  <cols>
    <col min="2" max="2" width="10.5546875" style="2" bestFit="1" customWidth="1"/>
    <col min="3" max="3" width="11.44140625" style="1" bestFit="1" customWidth="1"/>
    <col min="4" max="4" width="12.5546875" bestFit="1" customWidth="1"/>
    <col min="5" max="5" width="10.33203125" bestFit="1" customWidth="1"/>
    <col min="6" max="6" width="11.33203125" bestFit="1" customWidth="1"/>
    <col min="7" max="7" width="12.77734375" style="1" customWidth="1"/>
    <col min="8" max="14" width="12.77734375" customWidth="1"/>
    <col min="15" max="15" width="6.33203125" customWidth="1"/>
    <col min="16" max="16" width="8.88671875" hidden="1" customWidth="1"/>
    <col min="20" max="20" width="8.5546875" customWidth="1"/>
    <col min="21" max="21" width="1.5546875" hidden="1" customWidth="1"/>
    <col min="22" max="22" width="16.5546875" hidden="1" customWidth="1"/>
    <col min="23" max="27" width="8.88671875" hidden="1" customWidth="1"/>
  </cols>
  <sheetData>
    <row r="1" spans="2:26" ht="15" thickBot="1" x14ac:dyDescent="0.35"/>
    <row r="2" spans="2:26" ht="15" thickBot="1" x14ac:dyDescent="0.35">
      <c r="D2" s="61" t="s">
        <v>1</v>
      </c>
      <c r="E2" s="59"/>
      <c r="F2" s="60"/>
      <c r="G2" s="58" t="s">
        <v>27</v>
      </c>
      <c r="H2" s="59"/>
      <c r="I2" s="59"/>
      <c r="J2" s="59"/>
      <c r="K2" s="59"/>
      <c r="L2" s="59"/>
      <c r="M2" s="59"/>
      <c r="N2" s="60"/>
    </row>
    <row r="3" spans="2:26" ht="15" thickBot="1" x14ac:dyDescent="0.35">
      <c r="B3" s="11" t="s">
        <v>0</v>
      </c>
      <c r="C3" s="12" t="s">
        <v>25</v>
      </c>
      <c r="D3" s="13" t="s">
        <v>2</v>
      </c>
      <c r="E3" s="14" t="s">
        <v>3</v>
      </c>
      <c r="F3" s="15" t="s">
        <v>28</v>
      </c>
      <c r="G3" s="16" t="s">
        <v>21</v>
      </c>
      <c r="H3" s="14" t="s">
        <v>22</v>
      </c>
      <c r="I3" s="14" t="s">
        <v>18</v>
      </c>
      <c r="J3" s="14" t="s">
        <v>19</v>
      </c>
      <c r="K3" s="14" t="s">
        <v>17</v>
      </c>
      <c r="L3" s="14" t="s">
        <v>23</v>
      </c>
      <c r="M3" s="14" t="s">
        <v>24</v>
      </c>
      <c r="N3" s="15" t="s">
        <v>20</v>
      </c>
      <c r="Q3" s="57" t="s">
        <v>88</v>
      </c>
    </row>
    <row r="4" spans="2:26" ht="15" thickBot="1" x14ac:dyDescent="0.35">
      <c r="B4" s="17">
        <v>42339</v>
      </c>
      <c r="C4" s="18" t="s">
        <v>4</v>
      </c>
      <c r="D4" s="19" t="s">
        <v>11</v>
      </c>
      <c r="E4" s="20" t="s">
        <v>15</v>
      </c>
      <c r="F4" s="21" t="s">
        <v>13</v>
      </c>
      <c r="G4" s="22">
        <v>62</v>
      </c>
      <c r="H4" s="20">
        <v>130</v>
      </c>
      <c r="I4" s="20">
        <v>137</v>
      </c>
      <c r="J4" s="20">
        <v>162</v>
      </c>
      <c r="K4" s="20">
        <v>142</v>
      </c>
      <c r="L4" s="20">
        <v>138</v>
      </c>
      <c r="M4" s="20">
        <v>207</v>
      </c>
      <c r="N4" s="21">
        <v>144</v>
      </c>
      <c r="O4" s="23"/>
      <c r="V4" s="15" t="s">
        <v>0</v>
      </c>
      <c r="W4" s="15" t="s">
        <v>25</v>
      </c>
      <c r="X4" s="15" t="s">
        <v>2</v>
      </c>
      <c r="Y4" s="15" t="s">
        <v>3</v>
      </c>
      <c r="Z4" s="15" t="s">
        <v>68</v>
      </c>
    </row>
    <row r="5" spans="2:26" x14ac:dyDescent="0.3">
      <c r="B5" s="9">
        <v>42340</v>
      </c>
      <c r="C5" s="24" t="s">
        <v>5</v>
      </c>
      <c r="D5" s="4" t="s">
        <v>11</v>
      </c>
      <c r="E5" s="3" t="s">
        <v>29</v>
      </c>
      <c r="F5" s="5" t="s">
        <v>13</v>
      </c>
      <c r="G5" s="25">
        <v>80</v>
      </c>
      <c r="H5" s="3">
        <v>180</v>
      </c>
      <c r="I5" s="3">
        <v>471</v>
      </c>
      <c r="J5" s="3">
        <v>211</v>
      </c>
      <c r="K5" s="3">
        <v>153</v>
      </c>
      <c r="L5" s="3">
        <v>174</v>
      </c>
      <c r="M5" s="3">
        <v>311</v>
      </c>
      <c r="N5" s="5">
        <v>247</v>
      </c>
      <c r="O5" s="23"/>
      <c r="V5" s="36"/>
    </row>
    <row r="6" spans="2:26" x14ac:dyDescent="0.3">
      <c r="B6" s="9">
        <v>42341</v>
      </c>
      <c r="C6" s="24" t="s">
        <v>6</v>
      </c>
      <c r="D6" s="4" t="s">
        <v>14</v>
      </c>
      <c r="E6" s="3" t="s">
        <v>15</v>
      </c>
      <c r="F6" s="5" t="s">
        <v>13</v>
      </c>
      <c r="G6" s="25">
        <v>69</v>
      </c>
      <c r="H6" s="3">
        <v>126</v>
      </c>
      <c r="I6" s="3">
        <v>106</v>
      </c>
      <c r="J6" s="3">
        <v>140</v>
      </c>
      <c r="K6" s="3">
        <v>156</v>
      </c>
      <c r="L6" s="3">
        <v>130</v>
      </c>
      <c r="M6" s="3">
        <v>171</v>
      </c>
      <c r="N6" s="5">
        <v>134</v>
      </c>
      <c r="O6" s="23"/>
      <c r="V6" s="36"/>
    </row>
    <row r="7" spans="2:26" x14ac:dyDescent="0.3">
      <c r="B7" s="9">
        <v>42342</v>
      </c>
      <c r="C7" s="24" t="s">
        <v>7</v>
      </c>
      <c r="D7" s="4" t="s">
        <v>11</v>
      </c>
      <c r="E7" s="3" t="s">
        <v>15</v>
      </c>
      <c r="F7" s="5" t="s">
        <v>13</v>
      </c>
      <c r="G7" s="25">
        <v>62</v>
      </c>
      <c r="H7" s="3">
        <v>131</v>
      </c>
      <c r="I7" s="3">
        <v>159</v>
      </c>
      <c r="J7" s="3">
        <v>166</v>
      </c>
      <c r="K7" s="3">
        <v>155</v>
      </c>
      <c r="L7" s="3">
        <v>129</v>
      </c>
      <c r="M7" s="3">
        <v>170</v>
      </c>
      <c r="N7" s="5">
        <v>114</v>
      </c>
      <c r="O7" s="23"/>
      <c r="V7" s="36"/>
    </row>
    <row r="8" spans="2:26" x14ac:dyDescent="0.3">
      <c r="B8" s="9">
        <v>42343</v>
      </c>
      <c r="C8" s="24" t="s">
        <v>8</v>
      </c>
      <c r="D8" s="4" t="s">
        <v>11</v>
      </c>
      <c r="E8" s="3" t="s">
        <v>15</v>
      </c>
      <c r="F8" s="5" t="s">
        <v>13</v>
      </c>
      <c r="G8" s="25">
        <v>61</v>
      </c>
      <c r="H8" s="3">
        <v>111</v>
      </c>
      <c r="I8" s="3">
        <v>181</v>
      </c>
      <c r="J8" s="3">
        <v>162</v>
      </c>
      <c r="K8" s="3">
        <v>177</v>
      </c>
      <c r="L8" s="3">
        <v>118</v>
      </c>
      <c r="M8" s="3">
        <v>147</v>
      </c>
      <c r="N8" s="5">
        <v>99</v>
      </c>
      <c r="O8" s="23"/>
      <c r="V8" s="36"/>
    </row>
    <row r="9" spans="2:26" x14ac:dyDescent="0.3">
      <c r="B9" s="9">
        <v>42344</v>
      </c>
      <c r="C9" s="24" t="s">
        <v>9</v>
      </c>
      <c r="D9" s="4" t="s">
        <v>14</v>
      </c>
      <c r="E9" s="3" t="s">
        <v>16</v>
      </c>
      <c r="F9" s="5" t="s">
        <v>13</v>
      </c>
      <c r="G9" s="25">
        <v>56</v>
      </c>
      <c r="H9" s="3">
        <v>103</v>
      </c>
      <c r="I9" s="3">
        <v>160</v>
      </c>
      <c r="J9" s="3">
        <v>144</v>
      </c>
      <c r="K9" s="3">
        <v>192</v>
      </c>
      <c r="L9" s="3">
        <v>105</v>
      </c>
      <c r="M9" s="3">
        <v>87</v>
      </c>
      <c r="N9" s="5">
        <v>85</v>
      </c>
      <c r="O9" s="23"/>
      <c r="V9" s="36"/>
    </row>
    <row r="10" spans="2:26" x14ac:dyDescent="0.3">
      <c r="B10" s="9">
        <v>42345</v>
      </c>
      <c r="C10" s="24" t="s">
        <v>10</v>
      </c>
      <c r="D10" s="4" t="s">
        <v>11</v>
      </c>
      <c r="E10" s="3" t="s">
        <v>29</v>
      </c>
      <c r="F10" s="5" t="s">
        <v>13</v>
      </c>
      <c r="G10" s="25">
        <v>73</v>
      </c>
      <c r="H10" s="3">
        <v>167</v>
      </c>
      <c r="I10" s="3">
        <v>265</v>
      </c>
      <c r="J10" s="3">
        <v>228</v>
      </c>
      <c r="K10" s="3">
        <v>157</v>
      </c>
      <c r="L10" s="3">
        <v>167</v>
      </c>
      <c r="M10" s="3">
        <v>274</v>
      </c>
      <c r="N10" s="5">
        <v>205</v>
      </c>
      <c r="O10" s="23"/>
      <c r="V10" s="36"/>
    </row>
    <row r="11" spans="2:26" x14ac:dyDescent="0.3">
      <c r="B11" s="9">
        <v>42346</v>
      </c>
      <c r="C11" s="24" t="s">
        <v>4</v>
      </c>
      <c r="D11" s="4" t="s">
        <v>11</v>
      </c>
      <c r="E11" s="3" t="s">
        <v>15</v>
      </c>
      <c r="F11" s="5" t="s">
        <v>13</v>
      </c>
      <c r="G11" s="25">
        <v>68</v>
      </c>
      <c r="H11" s="3">
        <v>134</v>
      </c>
      <c r="I11" s="3">
        <v>151</v>
      </c>
      <c r="J11" s="3">
        <v>167</v>
      </c>
      <c r="K11" s="3">
        <v>148</v>
      </c>
      <c r="L11" s="3">
        <v>141</v>
      </c>
      <c r="M11" s="3">
        <v>206</v>
      </c>
      <c r="N11" s="5">
        <v>149</v>
      </c>
      <c r="O11" s="23"/>
      <c r="V11" s="36"/>
    </row>
    <row r="12" spans="2:26" x14ac:dyDescent="0.3">
      <c r="B12" s="9">
        <v>42347</v>
      </c>
      <c r="C12" s="24" t="s">
        <v>5</v>
      </c>
      <c r="D12" s="4" t="s">
        <v>11</v>
      </c>
      <c r="E12" s="3" t="s">
        <v>16</v>
      </c>
      <c r="F12" s="5" t="s">
        <v>13</v>
      </c>
      <c r="G12" s="25">
        <v>84</v>
      </c>
      <c r="H12" s="3">
        <v>172</v>
      </c>
      <c r="I12" s="3">
        <v>416</v>
      </c>
      <c r="J12" s="3">
        <v>196</v>
      </c>
      <c r="K12" s="3">
        <v>155</v>
      </c>
      <c r="L12" s="3">
        <v>179</v>
      </c>
      <c r="M12" s="3">
        <v>279</v>
      </c>
      <c r="N12" s="5">
        <v>235</v>
      </c>
      <c r="O12" s="23"/>
    </row>
    <row r="13" spans="2:26" ht="15" thickBot="1" x14ac:dyDescent="0.35">
      <c r="B13" s="9">
        <v>42348</v>
      </c>
      <c r="C13" s="24" t="s">
        <v>6</v>
      </c>
      <c r="D13" s="4" t="s">
        <v>26</v>
      </c>
      <c r="E13" s="3" t="s">
        <v>16</v>
      </c>
      <c r="F13" s="5" t="s">
        <v>13</v>
      </c>
      <c r="G13" s="25">
        <v>61</v>
      </c>
      <c r="H13" s="3">
        <v>127</v>
      </c>
      <c r="I13" s="3">
        <v>101</v>
      </c>
      <c r="J13" s="3">
        <v>166</v>
      </c>
      <c r="K13" s="3">
        <v>162</v>
      </c>
      <c r="L13" s="3">
        <v>134</v>
      </c>
      <c r="M13" s="3">
        <v>238</v>
      </c>
      <c r="N13" s="5">
        <v>171</v>
      </c>
      <c r="O13" s="23"/>
    </row>
    <row r="14" spans="2:26" ht="15" thickBot="1" x14ac:dyDescent="0.35">
      <c r="B14" s="9">
        <v>42349</v>
      </c>
      <c r="C14" s="24" t="s">
        <v>7</v>
      </c>
      <c r="D14" s="4" t="s">
        <v>14</v>
      </c>
      <c r="E14" s="3" t="s">
        <v>16</v>
      </c>
      <c r="F14" s="5" t="s">
        <v>13</v>
      </c>
      <c r="G14" s="25">
        <v>76</v>
      </c>
      <c r="H14" s="3">
        <v>151</v>
      </c>
      <c r="I14" s="3">
        <v>144</v>
      </c>
      <c r="J14" s="3">
        <v>189</v>
      </c>
      <c r="K14" s="3">
        <v>164</v>
      </c>
      <c r="L14" s="3">
        <v>157</v>
      </c>
      <c r="M14" s="3">
        <v>223</v>
      </c>
      <c r="N14" s="5">
        <v>143</v>
      </c>
      <c r="O14" s="23"/>
      <c r="Q14" s="33" t="s">
        <v>82</v>
      </c>
      <c r="R14" t="s">
        <v>83</v>
      </c>
      <c r="V14" s="15" t="s">
        <v>69</v>
      </c>
    </row>
    <row r="15" spans="2:26" x14ac:dyDescent="0.3">
      <c r="B15" s="9">
        <v>42350</v>
      </c>
      <c r="C15" s="24" t="s">
        <v>8</v>
      </c>
      <c r="D15" s="4" t="s">
        <v>14</v>
      </c>
      <c r="E15" s="3" t="s">
        <v>16</v>
      </c>
      <c r="F15" s="5" t="s">
        <v>13</v>
      </c>
      <c r="G15" s="25">
        <v>63</v>
      </c>
      <c r="H15" s="3">
        <v>124</v>
      </c>
      <c r="I15" s="3">
        <v>165</v>
      </c>
      <c r="J15" s="3">
        <v>178</v>
      </c>
      <c r="K15" s="3">
        <v>180</v>
      </c>
      <c r="L15" s="3">
        <v>131</v>
      </c>
      <c r="M15" s="3">
        <v>183</v>
      </c>
      <c r="N15" s="5">
        <v>117</v>
      </c>
      <c r="O15" s="23"/>
      <c r="V15">
        <v>95</v>
      </c>
    </row>
    <row r="16" spans="2:26" x14ac:dyDescent="0.3">
      <c r="B16" s="9">
        <v>42351</v>
      </c>
      <c r="C16" s="24" t="s">
        <v>9</v>
      </c>
      <c r="D16" s="4" t="s">
        <v>26</v>
      </c>
      <c r="E16" s="3" t="s">
        <v>15</v>
      </c>
      <c r="F16" s="5" t="s">
        <v>13</v>
      </c>
      <c r="G16" s="25">
        <v>48</v>
      </c>
      <c r="H16" s="3">
        <v>94</v>
      </c>
      <c r="I16" s="3">
        <v>98</v>
      </c>
      <c r="J16" s="3">
        <v>124</v>
      </c>
      <c r="K16" s="3">
        <v>199</v>
      </c>
      <c r="L16" s="3">
        <v>96</v>
      </c>
      <c r="M16" s="3">
        <v>71</v>
      </c>
      <c r="N16" s="5">
        <v>69</v>
      </c>
    </row>
    <row r="17" spans="2:14" x14ac:dyDescent="0.3">
      <c r="B17" s="9">
        <v>42352</v>
      </c>
      <c r="C17" s="24" t="s">
        <v>10</v>
      </c>
      <c r="D17" s="4" t="s">
        <v>14</v>
      </c>
      <c r="E17" s="3" t="s">
        <v>29</v>
      </c>
      <c r="F17" s="5" t="s">
        <v>13</v>
      </c>
      <c r="G17" s="25">
        <v>78</v>
      </c>
      <c r="H17" s="3">
        <v>161</v>
      </c>
      <c r="I17" s="3">
        <v>180</v>
      </c>
      <c r="J17" s="3">
        <v>209</v>
      </c>
      <c r="K17" s="3">
        <v>164</v>
      </c>
      <c r="L17" s="3">
        <v>169</v>
      </c>
      <c r="M17" s="3">
        <v>242</v>
      </c>
      <c r="N17" s="5">
        <v>185</v>
      </c>
    </row>
    <row r="18" spans="2:14" x14ac:dyDescent="0.3">
      <c r="B18" s="9">
        <v>42353</v>
      </c>
      <c r="C18" s="24" t="s">
        <v>4</v>
      </c>
      <c r="D18" s="4" t="s">
        <v>26</v>
      </c>
      <c r="E18" s="3" t="s">
        <v>15</v>
      </c>
      <c r="F18" s="5" t="s">
        <v>13</v>
      </c>
      <c r="G18" s="25">
        <v>53</v>
      </c>
      <c r="H18" s="3">
        <v>111</v>
      </c>
      <c r="I18" s="3">
        <v>86</v>
      </c>
      <c r="J18" s="3">
        <v>145</v>
      </c>
      <c r="K18" s="3">
        <v>151</v>
      </c>
      <c r="L18" s="3">
        <v>117</v>
      </c>
      <c r="M18" s="3">
        <v>169</v>
      </c>
      <c r="N18" s="5">
        <v>130</v>
      </c>
    </row>
    <row r="19" spans="2:14" x14ac:dyDescent="0.3">
      <c r="B19" s="9">
        <v>42354</v>
      </c>
      <c r="C19" s="24" t="s">
        <v>5</v>
      </c>
      <c r="D19" s="4" t="s">
        <v>11</v>
      </c>
      <c r="E19" s="3" t="s">
        <v>15</v>
      </c>
      <c r="F19" s="5" t="s">
        <v>13</v>
      </c>
      <c r="G19" s="25">
        <v>71</v>
      </c>
      <c r="H19" s="3">
        <v>139</v>
      </c>
      <c r="I19" s="3">
        <v>333</v>
      </c>
      <c r="J19" s="3">
        <v>170</v>
      </c>
      <c r="K19" s="3">
        <v>166</v>
      </c>
      <c r="L19" s="3">
        <v>155</v>
      </c>
      <c r="M19" s="3">
        <v>194</v>
      </c>
      <c r="N19" s="5">
        <v>168</v>
      </c>
    </row>
    <row r="20" spans="2:14" x14ac:dyDescent="0.3">
      <c r="B20" s="9">
        <v>42355</v>
      </c>
      <c r="C20" s="24" t="s">
        <v>6</v>
      </c>
      <c r="D20" s="4" t="s">
        <v>14</v>
      </c>
      <c r="E20" s="3" t="s">
        <v>29</v>
      </c>
      <c r="F20" s="5" t="s">
        <v>13</v>
      </c>
      <c r="G20" s="25">
        <v>78</v>
      </c>
      <c r="H20" s="3">
        <v>165</v>
      </c>
      <c r="I20" s="3">
        <v>188</v>
      </c>
      <c r="J20" s="3">
        <v>208</v>
      </c>
      <c r="K20" s="3">
        <v>163</v>
      </c>
      <c r="L20" s="3">
        <v>182</v>
      </c>
      <c r="M20" s="3">
        <v>294</v>
      </c>
      <c r="N20" s="5">
        <v>223</v>
      </c>
    </row>
    <row r="21" spans="2:14" x14ac:dyDescent="0.3">
      <c r="B21" s="9">
        <v>42356</v>
      </c>
      <c r="C21" s="24" t="s">
        <v>7</v>
      </c>
      <c r="D21" s="4" t="s">
        <v>11</v>
      </c>
      <c r="E21" s="3" t="s">
        <v>15</v>
      </c>
      <c r="F21" s="5" t="s">
        <v>13</v>
      </c>
      <c r="G21" s="25">
        <v>76</v>
      </c>
      <c r="H21" s="3">
        <v>140</v>
      </c>
      <c r="I21" s="3">
        <v>192</v>
      </c>
      <c r="J21" s="3">
        <v>179</v>
      </c>
      <c r="K21" s="3">
        <v>174</v>
      </c>
      <c r="L21" s="3">
        <v>142</v>
      </c>
      <c r="M21" s="3">
        <v>181</v>
      </c>
      <c r="N21" s="5">
        <v>127</v>
      </c>
    </row>
    <row r="22" spans="2:14" x14ac:dyDescent="0.3">
      <c r="B22" s="9">
        <v>42357</v>
      </c>
      <c r="C22" s="24" t="s">
        <v>8</v>
      </c>
      <c r="D22" s="4" t="s">
        <v>11</v>
      </c>
      <c r="E22" s="3" t="s">
        <v>12</v>
      </c>
      <c r="F22" s="5" t="s">
        <v>13</v>
      </c>
      <c r="G22" s="25">
        <v>67</v>
      </c>
      <c r="H22" s="3">
        <v>122</v>
      </c>
      <c r="I22" s="3">
        <v>370</v>
      </c>
      <c r="J22" s="3">
        <v>172</v>
      </c>
      <c r="K22" s="3">
        <v>190</v>
      </c>
      <c r="L22" s="3">
        <v>125</v>
      </c>
      <c r="M22" s="3">
        <v>131</v>
      </c>
      <c r="N22" s="5">
        <v>95</v>
      </c>
    </row>
    <row r="23" spans="2:14" x14ac:dyDescent="0.3">
      <c r="B23" s="9">
        <v>42358</v>
      </c>
      <c r="C23" s="24" t="s">
        <v>9</v>
      </c>
      <c r="D23" s="4" t="s">
        <v>11</v>
      </c>
      <c r="E23" s="3" t="s">
        <v>12</v>
      </c>
      <c r="F23" s="5" t="s">
        <v>13</v>
      </c>
      <c r="G23" s="25">
        <v>52</v>
      </c>
      <c r="H23" s="3">
        <v>96</v>
      </c>
      <c r="I23" s="3">
        <v>401</v>
      </c>
      <c r="J23" s="3">
        <v>152</v>
      </c>
      <c r="K23" s="3">
        <v>200</v>
      </c>
      <c r="L23" s="3">
        <v>109</v>
      </c>
      <c r="M23" s="3">
        <v>75</v>
      </c>
      <c r="N23" s="5">
        <v>74</v>
      </c>
    </row>
    <row r="24" spans="2:14" x14ac:dyDescent="0.3">
      <c r="B24" s="9">
        <v>42359</v>
      </c>
      <c r="C24" s="24" t="s">
        <v>10</v>
      </c>
      <c r="D24" s="4" t="s">
        <v>14</v>
      </c>
      <c r="E24" s="3" t="s">
        <v>15</v>
      </c>
      <c r="F24" s="5" t="s">
        <v>13</v>
      </c>
      <c r="G24" s="25">
        <v>68</v>
      </c>
      <c r="H24" s="3">
        <v>133</v>
      </c>
      <c r="I24" s="3">
        <v>129</v>
      </c>
      <c r="J24" s="3">
        <v>161</v>
      </c>
      <c r="K24" s="3">
        <v>172</v>
      </c>
      <c r="L24" s="3">
        <v>141</v>
      </c>
      <c r="M24" s="3">
        <v>153</v>
      </c>
      <c r="N24" s="5">
        <v>126</v>
      </c>
    </row>
    <row r="25" spans="2:14" x14ac:dyDescent="0.3">
      <c r="B25" s="9">
        <v>42360</v>
      </c>
      <c r="C25" s="24" t="s">
        <v>4</v>
      </c>
      <c r="D25" s="4" t="s">
        <v>14</v>
      </c>
      <c r="E25" s="3" t="s">
        <v>16</v>
      </c>
      <c r="F25" s="5" t="s">
        <v>13</v>
      </c>
      <c r="G25" s="25">
        <v>82</v>
      </c>
      <c r="H25" s="3">
        <v>158</v>
      </c>
      <c r="I25" s="3">
        <v>148</v>
      </c>
      <c r="J25" s="3">
        <v>205</v>
      </c>
      <c r="K25" s="3">
        <v>161</v>
      </c>
      <c r="L25" s="3">
        <v>180</v>
      </c>
      <c r="M25" s="3">
        <v>272</v>
      </c>
      <c r="N25" s="5">
        <v>200</v>
      </c>
    </row>
    <row r="26" spans="2:14" x14ac:dyDescent="0.3">
      <c r="B26" s="9">
        <v>42361</v>
      </c>
      <c r="C26" s="24" t="s">
        <v>5</v>
      </c>
      <c r="D26" s="4" t="s">
        <v>14</v>
      </c>
      <c r="E26" s="3" t="s">
        <v>29</v>
      </c>
      <c r="F26" s="5" t="s">
        <v>13</v>
      </c>
      <c r="G26" s="25">
        <v>81</v>
      </c>
      <c r="H26" s="3">
        <v>178</v>
      </c>
      <c r="I26" s="3">
        <v>364</v>
      </c>
      <c r="J26" s="3">
        <v>206</v>
      </c>
      <c r="K26" s="3">
        <v>171</v>
      </c>
      <c r="L26" s="3">
        <v>192</v>
      </c>
      <c r="M26" s="3">
        <v>280</v>
      </c>
      <c r="N26" s="5">
        <v>247</v>
      </c>
    </row>
    <row r="27" spans="2:14" x14ac:dyDescent="0.3">
      <c r="B27" s="9">
        <v>42362</v>
      </c>
      <c r="C27" s="24" t="s">
        <v>6</v>
      </c>
      <c r="D27" s="4" t="s">
        <v>26</v>
      </c>
      <c r="E27" s="3" t="s">
        <v>29</v>
      </c>
      <c r="F27" s="5" t="s">
        <v>13</v>
      </c>
      <c r="G27" s="25">
        <v>68</v>
      </c>
      <c r="H27" s="3">
        <v>134</v>
      </c>
      <c r="I27" s="3">
        <v>129</v>
      </c>
      <c r="J27" s="3">
        <v>201</v>
      </c>
      <c r="K27" s="3">
        <v>168</v>
      </c>
      <c r="L27" s="3">
        <v>138</v>
      </c>
      <c r="M27" s="3">
        <v>269</v>
      </c>
      <c r="N27" s="5">
        <v>204</v>
      </c>
    </row>
    <row r="28" spans="2:14" x14ac:dyDescent="0.3">
      <c r="B28" s="9">
        <v>42363</v>
      </c>
      <c r="C28" s="24" t="s">
        <v>7</v>
      </c>
      <c r="D28" s="4" t="s">
        <v>26</v>
      </c>
      <c r="E28" s="3" t="s">
        <v>16</v>
      </c>
      <c r="F28" s="5" t="s">
        <v>30</v>
      </c>
      <c r="G28" s="25">
        <v>50</v>
      </c>
      <c r="H28" s="3">
        <v>99</v>
      </c>
      <c r="I28" s="3">
        <v>139</v>
      </c>
      <c r="J28" s="3">
        <v>156</v>
      </c>
      <c r="K28" s="3">
        <v>192</v>
      </c>
      <c r="L28" s="3">
        <v>102</v>
      </c>
      <c r="M28" s="3">
        <v>119</v>
      </c>
      <c r="N28" s="5">
        <v>91</v>
      </c>
    </row>
    <row r="29" spans="2:14" x14ac:dyDescent="0.3">
      <c r="B29" s="9">
        <v>42364</v>
      </c>
      <c r="C29" s="24" t="s">
        <v>8</v>
      </c>
      <c r="D29" s="4" t="s">
        <v>14</v>
      </c>
      <c r="E29" s="3" t="s">
        <v>15</v>
      </c>
      <c r="F29" s="5" t="s">
        <v>13</v>
      </c>
      <c r="G29" s="25">
        <v>61</v>
      </c>
      <c r="H29" s="3">
        <v>120</v>
      </c>
      <c r="I29" s="3">
        <v>145</v>
      </c>
      <c r="J29" s="3">
        <v>162</v>
      </c>
      <c r="K29" s="3">
        <v>203</v>
      </c>
      <c r="L29" s="3">
        <v>123</v>
      </c>
      <c r="M29" s="3">
        <v>134</v>
      </c>
      <c r="N29" s="5">
        <v>93</v>
      </c>
    </row>
    <row r="30" spans="2:14" x14ac:dyDescent="0.3">
      <c r="B30" s="9">
        <v>42365</v>
      </c>
      <c r="C30" s="24" t="s">
        <v>9</v>
      </c>
      <c r="D30" s="4" t="s">
        <v>14</v>
      </c>
      <c r="E30" s="3" t="s">
        <v>29</v>
      </c>
      <c r="F30" s="5" t="s">
        <v>13</v>
      </c>
      <c r="G30" s="25">
        <v>64</v>
      </c>
      <c r="H30" s="3">
        <v>113</v>
      </c>
      <c r="I30" s="3">
        <v>250</v>
      </c>
      <c r="J30" s="3">
        <v>179</v>
      </c>
      <c r="K30" s="3">
        <v>214</v>
      </c>
      <c r="L30" s="3">
        <v>119</v>
      </c>
      <c r="M30" s="3">
        <v>106</v>
      </c>
      <c r="N30" s="5">
        <v>104</v>
      </c>
    </row>
    <row r="31" spans="2:14" x14ac:dyDescent="0.3">
      <c r="B31" s="9">
        <v>42366</v>
      </c>
      <c r="C31" s="24" t="s">
        <v>10</v>
      </c>
      <c r="D31" s="4" t="s">
        <v>11</v>
      </c>
      <c r="E31" s="3" t="s">
        <v>15</v>
      </c>
      <c r="F31" s="5" t="s">
        <v>13</v>
      </c>
      <c r="G31" s="25">
        <v>73</v>
      </c>
      <c r="H31" s="3">
        <v>138</v>
      </c>
      <c r="I31" s="3">
        <v>207</v>
      </c>
      <c r="J31" s="3">
        <v>190</v>
      </c>
      <c r="K31" s="3">
        <v>180</v>
      </c>
      <c r="L31" s="3">
        <v>146</v>
      </c>
      <c r="M31" s="3">
        <v>177</v>
      </c>
      <c r="N31" s="5">
        <v>146</v>
      </c>
    </row>
    <row r="32" spans="2:14" x14ac:dyDescent="0.3">
      <c r="B32" s="9">
        <v>42367</v>
      </c>
      <c r="C32" s="24" t="s">
        <v>4</v>
      </c>
      <c r="D32" s="4" t="s">
        <v>11</v>
      </c>
      <c r="E32" s="3" t="s">
        <v>29</v>
      </c>
      <c r="F32" s="5" t="s">
        <v>13</v>
      </c>
      <c r="G32" s="25">
        <v>89</v>
      </c>
      <c r="H32" s="3">
        <v>183</v>
      </c>
      <c r="I32" s="3">
        <v>329</v>
      </c>
      <c r="J32" s="3">
        <v>273</v>
      </c>
      <c r="K32" s="3">
        <v>169</v>
      </c>
      <c r="L32" s="3">
        <v>208</v>
      </c>
      <c r="M32" s="3">
        <v>368</v>
      </c>
      <c r="N32" s="5">
        <v>270</v>
      </c>
    </row>
    <row r="33" spans="2:14" x14ac:dyDescent="0.3">
      <c r="B33" s="9">
        <v>42368</v>
      </c>
      <c r="C33" s="24" t="s">
        <v>5</v>
      </c>
      <c r="D33" s="4" t="s">
        <v>11</v>
      </c>
      <c r="E33" s="3" t="s">
        <v>16</v>
      </c>
      <c r="F33" s="5" t="s">
        <v>13</v>
      </c>
      <c r="G33" s="25">
        <v>84</v>
      </c>
      <c r="H33" s="3">
        <v>183</v>
      </c>
      <c r="I33" s="3">
        <v>563</v>
      </c>
      <c r="J33" s="3">
        <v>221</v>
      </c>
      <c r="K33" s="3">
        <v>176</v>
      </c>
      <c r="L33" s="3">
        <v>205</v>
      </c>
      <c r="M33" s="3">
        <v>305</v>
      </c>
      <c r="N33" s="5">
        <v>259</v>
      </c>
    </row>
    <row r="34" spans="2:14" x14ac:dyDescent="0.3">
      <c r="B34" s="9">
        <v>42369</v>
      </c>
      <c r="C34" s="24" t="s">
        <v>6</v>
      </c>
      <c r="D34" s="4" t="s">
        <v>11</v>
      </c>
      <c r="E34" s="3" t="s">
        <v>29</v>
      </c>
      <c r="F34" s="5" t="s">
        <v>30</v>
      </c>
      <c r="G34" s="25">
        <v>71</v>
      </c>
      <c r="H34" s="3">
        <v>111</v>
      </c>
      <c r="I34" s="3">
        <v>522</v>
      </c>
      <c r="J34" s="3">
        <v>199</v>
      </c>
      <c r="K34" s="3">
        <v>192</v>
      </c>
      <c r="L34" s="3">
        <v>127</v>
      </c>
      <c r="M34" s="3">
        <v>174</v>
      </c>
      <c r="N34" s="5">
        <v>143</v>
      </c>
    </row>
    <row r="35" spans="2:14" x14ac:dyDescent="0.3">
      <c r="B35" s="9">
        <v>42370</v>
      </c>
      <c r="C35" s="24" t="s">
        <v>7</v>
      </c>
      <c r="D35" s="4" t="s">
        <v>11</v>
      </c>
      <c r="E35" s="3" t="s">
        <v>15</v>
      </c>
      <c r="F35" s="5" t="s">
        <v>30</v>
      </c>
      <c r="G35" s="25">
        <v>68</v>
      </c>
      <c r="H35" s="3">
        <v>97</v>
      </c>
      <c r="I35" s="3">
        <v>306</v>
      </c>
      <c r="J35" s="3">
        <v>158</v>
      </c>
      <c r="K35" s="3">
        <v>201</v>
      </c>
      <c r="L35" s="3">
        <v>105</v>
      </c>
      <c r="M35" s="3">
        <v>109</v>
      </c>
      <c r="N35" s="5">
        <v>87</v>
      </c>
    </row>
    <row r="36" spans="2:14" x14ac:dyDescent="0.3">
      <c r="B36" s="9">
        <v>42371</v>
      </c>
      <c r="C36" s="24" t="s">
        <v>8</v>
      </c>
      <c r="D36" s="4" t="s">
        <v>11</v>
      </c>
      <c r="E36" s="3" t="s">
        <v>12</v>
      </c>
      <c r="F36" s="5" t="s">
        <v>13</v>
      </c>
      <c r="G36" s="25">
        <v>68</v>
      </c>
      <c r="H36" s="3">
        <v>121</v>
      </c>
      <c r="I36" s="3">
        <v>443</v>
      </c>
      <c r="J36" s="3">
        <v>189</v>
      </c>
      <c r="K36" s="3">
        <v>210</v>
      </c>
      <c r="L36" s="3">
        <v>125</v>
      </c>
      <c r="M36" s="3">
        <v>144</v>
      </c>
      <c r="N36" s="5">
        <v>102</v>
      </c>
    </row>
    <row r="37" spans="2:14" x14ac:dyDescent="0.3">
      <c r="B37" s="9">
        <v>42372</v>
      </c>
      <c r="C37" s="24" t="s">
        <v>9</v>
      </c>
      <c r="D37" s="4" t="s">
        <v>11</v>
      </c>
      <c r="E37" s="3" t="s">
        <v>15</v>
      </c>
      <c r="F37" s="5" t="s">
        <v>13</v>
      </c>
      <c r="G37" s="25">
        <v>61</v>
      </c>
      <c r="H37" s="3">
        <v>102</v>
      </c>
      <c r="I37" s="3">
        <v>267</v>
      </c>
      <c r="J37" s="3">
        <v>154</v>
      </c>
      <c r="K37" s="3">
        <v>220</v>
      </c>
      <c r="L37" s="3">
        <v>109</v>
      </c>
      <c r="M37" s="3">
        <v>79</v>
      </c>
      <c r="N37" s="5">
        <v>81</v>
      </c>
    </row>
    <row r="38" spans="2:14" x14ac:dyDescent="0.3">
      <c r="B38" s="9">
        <v>42373</v>
      </c>
      <c r="C38" s="24" t="s">
        <v>10</v>
      </c>
      <c r="D38" s="4" t="s">
        <v>11</v>
      </c>
      <c r="E38" s="3" t="s">
        <v>15</v>
      </c>
      <c r="F38" s="5" t="s">
        <v>13</v>
      </c>
      <c r="G38" s="25">
        <v>75</v>
      </c>
      <c r="H38" s="3">
        <v>137</v>
      </c>
      <c r="I38" s="3">
        <v>221</v>
      </c>
      <c r="J38" s="3">
        <v>202</v>
      </c>
      <c r="K38" s="3">
        <v>188</v>
      </c>
      <c r="L38" s="3">
        <v>151</v>
      </c>
      <c r="M38" s="3">
        <v>175</v>
      </c>
      <c r="N38" s="5">
        <v>149</v>
      </c>
    </row>
    <row r="39" spans="2:14" x14ac:dyDescent="0.3">
      <c r="B39" s="9">
        <v>42374</v>
      </c>
      <c r="C39" s="24" t="s">
        <v>4</v>
      </c>
      <c r="D39" s="4" t="s">
        <v>11</v>
      </c>
      <c r="E39" s="3" t="s">
        <v>12</v>
      </c>
      <c r="F39" s="5" t="s">
        <v>13</v>
      </c>
      <c r="G39" s="25">
        <v>81</v>
      </c>
      <c r="H39" s="3">
        <v>147</v>
      </c>
      <c r="I39" s="3">
        <v>345</v>
      </c>
      <c r="J39" s="3">
        <v>207</v>
      </c>
      <c r="K39" s="3">
        <v>172</v>
      </c>
      <c r="L39" s="3">
        <v>157</v>
      </c>
      <c r="M39" s="3">
        <v>205</v>
      </c>
      <c r="N39" s="5">
        <v>154</v>
      </c>
    </row>
    <row r="40" spans="2:14" x14ac:dyDescent="0.3">
      <c r="B40" s="9">
        <v>42375</v>
      </c>
      <c r="C40" s="24" t="s">
        <v>5</v>
      </c>
      <c r="D40" s="4" t="s">
        <v>11</v>
      </c>
      <c r="E40" s="3" t="s">
        <v>12</v>
      </c>
      <c r="F40" s="5" t="s">
        <v>13</v>
      </c>
      <c r="G40" s="25">
        <v>84</v>
      </c>
      <c r="H40" s="3">
        <v>151</v>
      </c>
      <c r="I40" s="3">
        <v>798</v>
      </c>
      <c r="J40" s="3">
        <v>193</v>
      </c>
      <c r="K40" s="3">
        <v>188</v>
      </c>
      <c r="L40" s="3">
        <v>172</v>
      </c>
      <c r="M40" s="3">
        <v>189</v>
      </c>
      <c r="N40" s="5">
        <v>168</v>
      </c>
    </row>
    <row r="41" spans="2:14" x14ac:dyDescent="0.3">
      <c r="B41" s="9">
        <v>42376</v>
      </c>
      <c r="C41" s="24" t="s">
        <v>6</v>
      </c>
      <c r="D41" s="4" t="s">
        <v>11</v>
      </c>
      <c r="E41" s="3" t="s">
        <v>12</v>
      </c>
      <c r="F41" s="5" t="s">
        <v>13</v>
      </c>
      <c r="G41" s="25">
        <v>78</v>
      </c>
      <c r="H41" s="3">
        <v>142</v>
      </c>
      <c r="I41" s="3">
        <v>394</v>
      </c>
      <c r="J41" s="3">
        <v>198</v>
      </c>
      <c r="K41" s="3">
        <v>190</v>
      </c>
      <c r="L41" s="3">
        <v>163</v>
      </c>
      <c r="M41" s="3">
        <v>191</v>
      </c>
      <c r="N41" s="5">
        <v>154</v>
      </c>
    </row>
    <row r="42" spans="2:14" x14ac:dyDescent="0.3">
      <c r="B42" s="9">
        <v>42377</v>
      </c>
      <c r="C42" s="24" t="s">
        <v>7</v>
      </c>
      <c r="D42" s="4" t="s">
        <v>11</v>
      </c>
      <c r="E42" s="3" t="s">
        <v>15</v>
      </c>
      <c r="F42" s="5" t="s">
        <v>13</v>
      </c>
      <c r="G42" s="25">
        <v>81</v>
      </c>
      <c r="H42" s="3">
        <v>140</v>
      </c>
      <c r="I42" s="3">
        <v>238</v>
      </c>
      <c r="J42" s="3">
        <v>198</v>
      </c>
      <c r="K42" s="3">
        <v>190</v>
      </c>
      <c r="L42" s="3">
        <v>154</v>
      </c>
      <c r="M42" s="3">
        <v>186</v>
      </c>
      <c r="N42" s="5">
        <v>140</v>
      </c>
    </row>
    <row r="43" spans="2:14" x14ac:dyDescent="0.3">
      <c r="B43" s="9">
        <v>42378</v>
      </c>
      <c r="C43" s="24" t="s">
        <v>8</v>
      </c>
      <c r="D43" s="4" t="s">
        <v>11</v>
      </c>
      <c r="E43" s="3" t="s">
        <v>15</v>
      </c>
      <c r="F43" s="5" t="s">
        <v>13</v>
      </c>
      <c r="G43" s="25">
        <v>67</v>
      </c>
      <c r="H43" s="3">
        <v>123</v>
      </c>
      <c r="I43" s="3">
        <v>272</v>
      </c>
      <c r="J43" s="3">
        <v>187</v>
      </c>
      <c r="K43" s="3">
        <v>218</v>
      </c>
      <c r="L43" s="3">
        <v>130</v>
      </c>
      <c r="M43" s="3">
        <v>155</v>
      </c>
      <c r="N43" s="5">
        <v>113</v>
      </c>
    </row>
    <row r="44" spans="2:14" x14ac:dyDescent="0.3">
      <c r="B44" s="9">
        <v>42379</v>
      </c>
      <c r="C44" s="24" t="s">
        <v>9</v>
      </c>
      <c r="D44" s="4" t="s">
        <v>14</v>
      </c>
      <c r="E44" s="3" t="s">
        <v>16</v>
      </c>
      <c r="F44" s="5" t="s">
        <v>13</v>
      </c>
      <c r="G44" s="25">
        <v>59</v>
      </c>
      <c r="H44" s="3">
        <v>109</v>
      </c>
      <c r="I44" s="3">
        <v>236</v>
      </c>
      <c r="J44" s="3">
        <v>172</v>
      </c>
      <c r="K44" s="3">
        <v>227</v>
      </c>
      <c r="L44" s="3">
        <v>117</v>
      </c>
      <c r="M44" s="3">
        <v>100</v>
      </c>
      <c r="N44" s="5">
        <v>98</v>
      </c>
    </row>
    <row r="45" spans="2:14" x14ac:dyDescent="0.3">
      <c r="B45" s="9">
        <v>42380</v>
      </c>
      <c r="C45" s="24" t="s">
        <v>10</v>
      </c>
      <c r="D45" s="4" t="s">
        <v>11</v>
      </c>
      <c r="E45" s="3" t="s">
        <v>12</v>
      </c>
      <c r="F45" s="5" t="s">
        <v>13</v>
      </c>
      <c r="G45" s="25">
        <v>74</v>
      </c>
      <c r="H45" s="3">
        <v>140</v>
      </c>
      <c r="I45" s="3">
        <v>411</v>
      </c>
      <c r="J45" s="3">
        <v>209</v>
      </c>
      <c r="K45" s="3">
        <v>187</v>
      </c>
      <c r="L45" s="3">
        <v>153</v>
      </c>
      <c r="M45" s="3">
        <v>164</v>
      </c>
      <c r="N45" s="5">
        <v>140</v>
      </c>
    </row>
    <row r="46" spans="2:14" x14ac:dyDescent="0.3">
      <c r="B46" s="9">
        <v>42381</v>
      </c>
      <c r="C46" s="24" t="s">
        <v>4</v>
      </c>
      <c r="D46" s="4" t="s">
        <v>11</v>
      </c>
      <c r="E46" s="3" t="s">
        <v>15</v>
      </c>
      <c r="F46" s="5" t="s">
        <v>13</v>
      </c>
      <c r="G46" s="25">
        <v>82</v>
      </c>
      <c r="H46" s="3">
        <v>146</v>
      </c>
      <c r="I46" s="3">
        <v>217</v>
      </c>
      <c r="J46" s="3">
        <v>211</v>
      </c>
      <c r="K46" s="3">
        <v>177</v>
      </c>
      <c r="L46" s="3">
        <v>162</v>
      </c>
      <c r="M46" s="3">
        <v>231</v>
      </c>
      <c r="N46" s="5">
        <v>180</v>
      </c>
    </row>
    <row r="47" spans="2:14" x14ac:dyDescent="0.3">
      <c r="B47" s="9">
        <v>42382</v>
      </c>
      <c r="C47" s="24" t="s">
        <v>5</v>
      </c>
      <c r="D47" s="4" t="s">
        <v>11</v>
      </c>
      <c r="E47" s="3" t="s">
        <v>12</v>
      </c>
      <c r="F47" s="5" t="s">
        <v>13</v>
      </c>
      <c r="G47" s="25">
        <v>86</v>
      </c>
      <c r="H47" s="3">
        <v>154</v>
      </c>
      <c r="I47" s="3">
        <v>854</v>
      </c>
      <c r="J47" s="3">
        <v>198</v>
      </c>
      <c r="K47" s="3">
        <v>190</v>
      </c>
      <c r="L47" s="3">
        <v>172</v>
      </c>
      <c r="M47" s="3">
        <v>196</v>
      </c>
      <c r="N47" s="5">
        <v>175</v>
      </c>
    </row>
    <row r="48" spans="2:14" x14ac:dyDescent="0.3">
      <c r="B48" s="9">
        <v>42383</v>
      </c>
      <c r="C48" s="24" t="s">
        <v>6</v>
      </c>
      <c r="D48" s="4" t="s">
        <v>11</v>
      </c>
      <c r="E48" s="3" t="s">
        <v>15</v>
      </c>
      <c r="F48" s="5" t="s">
        <v>13</v>
      </c>
      <c r="G48" s="25">
        <v>82</v>
      </c>
      <c r="H48" s="3">
        <v>147</v>
      </c>
      <c r="I48" s="3">
        <v>245</v>
      </c>
      <c r="J48" s="3">
        <v>204</v>
      </c>
      <c r="K48" s="3">
        <v>196</v>
      </c>
      <c r="L48" s="3">
        <v>172</v>
      </c>
      <c r="M48" s="3">
        <v>216</v>
      </c>
      <c r="N48" s="5">
        <v>179</v>
      </c>
    </row>
    <row r="49" spans="2:14" x14ac:dyDescent="0.3">
      <c r="B49" s="9">
        <v>42384</v>
      </c>
      <c r="C49" s="24" t="s">
        <v>7</v>
      </c>
      <c r="D49" s="4" t="s">
        <v>11</v>
      </c>
      <c r="E49" s="3" t="s">
        <v>15</v>
      </c>
      <c r="F49" s="5" t="s">
        <v>13</v>
      </c>
      <c r="G49" s="25">
        <v>83</v>
      </c>
      <c r="H49" s="3">
        <v>140</v>
      </c>
      <c r="I49" s="3">
        <v>254</v>
      </c>
      <c r="J49" s="3">
        <v>211</v>
      </c>
      <c r="K49" s="3">
        <v>196</v>
      </c>
      <c r="L49" s="3">
        <v>165</v>
      </c>
      <c r="M49" s="3">
        <v>193</v>
      </c>
      <c r="N49" s="5">
        <v>136</v>
      </c>
    </row>
    <row r="50" spans="2:14" x14ac:dyDescent="0.3">
      <c r="B50" s="9">
        <v>42385</v>
      </c>
      <c r="C50" s="24" t="s">
        <v>8</v>
      </c>
      <c r="D50" s="4" t="s">
        <v>11</v>
      </c>
      <c r="E50" s="3" t="s">
        <v>16</v>
      </c>
      <c r="F50" s="5" t="s">
        <v>13</v>
      </c>
      <c r="G50" s="25">
        <v>78</v>
      </c>
      <c r="H50" s="3">
        <v>145</v>
      </c>
      <c r="I50" s="3">
        <v>398</v>
      </c>
      <c r="J50" s="3">
        <v>250</v>
      </c>
      <c r="K50" s="3">
        <v>226</v>
      </c>
      <c r="L50" s="3">
        <v>162</v>
      </c>
      <c r="M50" s="3">
        <v>223</v>
      </c>
      <c r="N50" s="5">
        <v>152</v>
      </c>
    </row>
    <row r="51" spans="2:14" x14ac:dyDescent="0.3">
      <c r="B51" s="9">
        <v>42386</v>
      </c>
      <c r="C51" s="24" t="s">
        <v>9</v>
      </c>
      <c r="D51" s="4" t="s">
        <v>11</v>
      </c>
      <c r="E51" s="3" t="s">
        <v>15</v>
      </c>
      <c r="F51" s="5" t="s">
        <v>13</v>
      </c>
      <c r="G51" s="25">
        <v>63</v>
      </c>
      <c r="H51" s="3">
        <v>106</v>
      </c>
      <c r="I51" s="3">
        <v>308</v>
      </c>
      <c r="J51" s="3">
        <v>168</v>
      </c>
      <c r="K51" s="3">
        <v>244</v>
      </c>
      <c r="L51" s="3">
        <v>106</v>
      </c>
      <c r="M51" s="3">
        <v>83</v>
      </c>
      <c r="N51" s="5">
        <v>87</v>
      </c>
    </row>
    <row r="52" spans="2:14" x14ac:dyDescent="0.3">
      <c r="B52" s="9">
        <v>42387</v>
      </c>
      <c r="C52" s="24" t="s">
        <v>10</v>
      </c>
      <c r="D52" s="4" t="s">
        <v>11</v>
      </c>
      <c r="E52" s="3" t="s">
        <v>12</v>
      </c>
      <c r="F52" s="5" t="s">
        <v>30</v>
      </c>
      <c r="G52" s="25">
        <v>67</v>
      </c>
      <c r="H52" s="3">
        <v>106</v>
      </c>
      <c r="I52" s="3">
        <v>633</v>
      </c>
      <c r="J52" s="3">
        <v>174</v>
      </c>
      <c r="K52" s="3">
        <v>210</v>
      </c>
      <c r="L52" s="3">
        <v>113</v>
      </c>
      <c r="M52" s="3">
        <v>93</v>
      </c>
      <c r="N52" s="5">
        <v>89</v>
      </c>
    </row>
    <row r="53" spans="2:14" x14ac:dyDescent="0.3">
      <c r="B53" s="9">
        <v>42388</v>
      </c>
      <c r="C53" s="24" t="s">
        <v>4</v>
      </c>
      <c r="D53" s="4" t="s">
        <v>11</v>
      </c>
      <c r="E53" s="3" t="s">
        <v>12</v>
      </c>
      <c r="F53" s="5" t="s">
        <v>13</v>
      </c>
      <c r="G53" s="25">
        <v>79</v>
      </c>
      <c r="H53" s="3">
        <v>146</v>
      </c>
      <c r="I53" s="3">
        <v>399</v>
      </c>
      <c r="J53" s="3">
        <v>220</v>
      </c>
      <c r="K53" s="3">
        <v>182</v>
      </c>
      <c r="L53" s="3">
        <v>169</v>
      </c>
      <c r="M53" s="3">
        <v>208</v>
      </c>
      <c r="N53" s="5">
        <v>163</v>
      </c>
    </row>
    <row r="54" spans="2:14" x14ac:dyDescent="0.3">
      <c r="B54" s="9">
        <v>42389</v>
      </c>
      <c r="C54" s="24" t="s">
        <v>5</v>
      </c>
      <c r="D54" s="4" t="s">
        <v>11</v>
      </c>
      <c r="E54" s="3" t="s">
        <v>15</v>
      </c>
      <c r="F54" s="5" t="s">
        <v>13</v>
      </c>
      <c r="G54" s="25">
        <v>83</v>
      </c>
      <c r="H54" s="3">
        <v>156</v>
      </c>
      <c r="I54" s="3">
        <v>492</v>
      </c>
      <c r="J54" s="3">
        <v>202</v>
      </c>
      <c r="K54" s="3">
        <v>202</v>
      </c>
      <c r="L54" s="3">
        <v>184</v>
      </c>
      <c r="M54" s="3">
        <v>213</v>
      </c>
      <c r="N54" s="5">
        <v>198</v>
      </c>
    </row>
    <row r="55" spans="2:14" x14ac:dyDescent="0.3">
      <c r="B55" s="9">
        <v>42390</v>
      </c>
      <c r="C55" s="24" t="s">
        <v>6</v>
      </c>
      <c r="D55" s="4" t="s">
        <v>11</v>
      </c>
      <c r="E55" s="3" t="s">
        <v>12</v>
      </c>
      <c r="F55" s="5" t="s">
        <v>13</v>
      </c>
      <c r="G55" s="25">
        <v>85</v>
      </c>
      <c r="H55" s="3">
        <v>144</v>
      </c>
      <c r="I55" s="3">
        <v>451</v>
      </c>
      <c r="J55" s="3">
        <v>211</v>
      </c>
      <c r="K55" s="3">
        <v>201</v>
      </c>
      <c r="L55" s="3">
        <v>177</v>
      </c>
      <c r="M55" s="3">
        <v>201</v>
      </c>
      <c r="N55" s="5">
        <v>170</v>
      </c>
    </row>
    <row r="56" spans="2:14" x14ac:dyDescent="0.3">
      <c r="B56" s="9">
        <v>42391</v>
      </c>
      <c r="C56" s="24" t="s">
        <v>7</v>
      </c>
      <c r="D56" s="4" t="s">
        <v>11</v>
      </c>
      <c r="E56" s="3" t="s">
        <v>12</v>
      </c>
      <c r="F56" s="5" t="s">
        <v>13</v>
      </c>
      <c r="G56" s="25">
        <v>84</v>
      </c>
      <c r="H56" s="3">
        <v>140</v>
      </c>
      <c r="I56" s="3">
        <v>483</v>
      </c>
      <c r="J56" s="3">
        <v>221</v>
      </c>
      <c r="K56" s="3">
        <v>212</v>
      </c>
      <c r="L56" s="3">
        <v>169</v>
      </c>
      <c r="M56" s="3">
        <v>177</v>
      </c>
      <c r="N56" s="5">
        <v>132</v>
      </c>
    </row>
    <row r="57" spans="2:14" x14ac:dyDescent="0.3">
      <c r="B57" s="9">
        <v>42392</v>
      </c>
      <c r="C57" s="24" t="s">
        <v>8</v>
      </c>
      <c r="D57" s="4" t="s">
        <v>11</v>
      </c>
      <c r="E57" s="3" t="s">
        <v>15</v>
      </c>
      <c r="F57" s="5" t="s">
        <v>13</v>
      </c>
      <c r="G57" s="25">
        <v>72</v>
      </c>
      <c r="H57" s="3">
        <v>119</v>
      </c>
      <c r="I57" s="3">
        <v>308</v>
      </c>
      <c r="J57" s="3">
        <v>207</v>
      </c>
      <c r="K57" s="3">
        <v>229</v>
      </c>
      <c r="L57" s="3">
        <v>137</v>
      </c>
      <c r="M57" s="3">
        <v>165</v>
      </c>
      <c r="N57" s="5">
        <v>121</v>
      </c>
    </row>
    <row r="58" spans="2:14" x14ac:dyDescent="0.3">
      <c r="B58" s="9">
        <v>42393</v>
      </c>
      <c r="C58" s="24" t="s">
        <v>9</v>
      </c>
      <c r="D58" s="4" t="s">
        <v>11</v>
      </c>
      <c r="E58" s="3" t="s">
        <v>12</v>
      </c>
      <c r="F58" s="5" t="s">
        <v>13</v>
      </c>
      <c r="G58" s="25">
        <v>58</v>
      </c>
      <c r="H58" s="3">
        <v>105</v>
      </c>
      <c r="I58" s="3">
        <v>598</v>
      </c>
      <c r="J58" s="3">
        <v>177</v>
      </c>
      <c r="K58" s="3">
        <v>249</v>
      </c>
      <c r="L58" s="3">
        <v>116</v>
      </c>
      <c r="M58" s="3">
        <v>80</v>
      </c>
      <c r="N58" s="5">
        <v>81</v>
      </c>
    </row>
    <row r="59" spans="2:14" x14ac:dyDescent="0.3">
      <c r="B59" s="9">
        <v>42394</v>
      </c>
      <c r="C59" s="24" t="s">
        <v>10</v>
      </c>
      <c r="D59" s="4" t="s">
        <v>11</v>
      </c>
      <c r="E59" s="3" t="s">
        <v>15</v>
      </c>
      <c r="F59" s="5" t="s">
        <v>13</v>
      </c>
      <c r="G59" s="25">
        <v>82</v>
      </c>
      <c r="H59" s="3">
        <v>137</v>
      </c>
      <c r="I59" s="3">
        <v>267</v>
      </c>
      <c r="J59" s="3">
        <v>222</v>
      </c>
      <c r="K59" s="3">
        <v>204</v>
      </c>
      <c r="L59" s="3">
        <v>166</v>
      </c>
      <c r="M59" s="3">
        <v>190</v>
      </c>
      <c r="N59" s="5">
        <v>162</v>
      </c>
    </row>
    <row r="60" spans="2:14" x14ac:dyDescent="0.3">
      <c r="B60" s="9">
        <v>42395</v>
      </c>
      <c r="C60" s="24" t="s">
        <v>4</v>
      </c>
      <c r="D60" s="4" t="s">
        <v>14</v>
      </c>
      <c r="E60" s="3" t="s">
        <v>15</v>
      </c>
      <c r="F60" s="5" t="s">
        <v>13</v>
      </c>
      <c r="G60" s="25">
        <v>84</v>
      </c>
      <c r="H60" s="3">
        <v>146</v>
      </c>
      <c r="I60" s="3">
        <v>154</v>
      </c>
      <c r="J60" s="3">
        <v>189</v>
      </c>
      <c r="K60" s="3">
        <v>192</v>
      </c>
      <c r="L60" s="3">
        <v>166</v>
      </c>
      <c r="M60" s="3">
        <v>210</v>
      </c>
      <c r="N60" s="5">
        <v>161</v>
      </c>
    </row>
    <row r="61" spans="2:14" x14ac:dyDescent="0.3">
      <c r="B61" s="9">
        <v>42396</v>
      </c>
      <c r="C61" s="24" t="s">
        <v>5</v>
      </c>
      <c r="D61" s="4" t="s">
        <v>14</v>
      </c>
      <c r="E61" s="3" t="s">
        <v>15</v>
      </c>
      <c r="F61" s="5" t="s">
        <v>13</v>
      </c>
      <c r="G61" s="25">
        <v>81</v>
      </c>
      <c r="H61" s="3">
        <v>144</v>
      </c>
      <c r="I61" s="3">
        <v>297</v>
      </c>
      <c r="J61" s="3">
        <v>179</v>
      </c>
      <c r="K61" s="3">
        <v>206</v>
      </c>
      <c r="L61" s="3">
        <v>174</v>
      </c>
      <c r="M61" s="3">
        <v>189</v>
      </c>
      <c r="N61" s="5">
        <v>177</v>
      </c>
    </row>
    <row r="62" spans="2:14" x14ac:dyDescent="0.3">
      <c r="B62" s="9">
        <v>42397</v>
      </c>
      <c r="C62" s="24" t="s">
        <v>6</v>
      </c>
      <c r="D62" s="4" t="s">
        <v>11</v>
      </c>
      <c r="E62" s="3" t="s">
        <v>15</v>
      </c>
      <c r="F62" s="5" t="s">
        <v>13</v>
      </c>
      <c r="G62" s="25">
        <v>90</v>
      </c>
      <c r="H62" s="3">
        <v>149</v>
      </c>
      <c r="I62" s="3">
        <v>268</v>
      </c>
      <c r="J62" s="3">
        <v>213</v>
      </c>
      <c r="K62" s="3">
        <v>203</v>
      </c>
      <c r="L62" s="3">
        <v>181</v>
      </c>
      <c r="M62" s="3">
        <v>233</v>
      </c>
      <c r="N62" s="5">
        <v>188</v>
      </c>
    </row>
    <row r="63" spans="2:14" x14ac:dyDescent="0.3">
      <c r="B63" s="9">
        <v>42398</v>
      </c>
      <c r="C63" s="24" t="s">
        <v>7</v>
      </c>
      <c r="D63" s="4" t="s">
        <v>11</v>
      </c>
      <c r="E63" s="3" t="s">
        <v>15</v>
      </c>
      <c r="F63" s="5" t="s">
        <v>13</v>
      </c>
      <c r="G63" s="25">
        <v>79</v>
      </c>
      <c r="H63" s="3">
        <v>146</v>
      </c>
      <c r="I63" s="3">
        <v>281</v>
      </c>
      <c r="J63" s="3">
        <v>226</v>
      </c>
      <c r="K63" s="3">
        <v>212</v>
      </c>
      <c r="L63" s="3">
        <v>176</v>
      </c>
      <c r="M63" s="3">
        <v>197</v>
      </c>
      <c r="N63" s="5">
        <v>146</v>
      </c>
    </row>
    <row r="64" spans="2:14" x14ac:dyDescent="0.3">
      <c r="B64" s="9">
        <v>42399</v>
      </c>
      <c r="C64" s="24" t="s">
        <v>8</v>
      </c>
      <c r="D64" s="4" t="s">
        <v>11</v>
      </c>
      <c r="E64" s="3" t="s">
        <v>15</v>
      </c>
      <c r="F64" s="5" t="s">
        <v>13</v>
      </c>
      <c r="G64" s="25">
        <v>76</v>
      </c>
      <c r="H64" s="3">
        <v>127</v>
      </c>
      <c r="I64" s="3">
        <v>327</v>
      </c>
      <c r="J64" s="3">
        <v>207</v>
      </c>
      <c r="K64" s="3">
        <v>239</v>
      </c>
      <c r="L64" s="3">
        <v>143</v>
      </c>
      <c r="M64" s="3">
        <v>160</v>
      </c>
      <c r="N64" s="5">
        <v>120</v>
      </c>
    </row>
    <row r="65" spans="2:14" x14ac:dyDescent="0.3">
      <c r="B65" s="9">
        <v>42400</v>
      </c>
      <c r="C65" s="24" t="s">
        <v>9</v>
      </c>
      <c r="D65" s="4" t="s">
        <v>14</v>
      </c>
      <c r="E65" s="3" t="s">
        <v>15</v>
      </c>
      <c r="F65" s="5" t="s">
        <v>13</v>
      </c>
      <c r="G65" s="25">
        <v>56</v>
      </c>
      <c r="H65" s="3">
        <v>99</v>
      </c>
      <c r="I65" s="3">
        <v>206</v>
      </c>
      <c r="J65" s="3">
        <v>161</v>
      </c>
      <c r="K65" s="3">
        <v>253</v>
      </c>
      <c r="L65" s="3">
        <v>114</v>
      </c>
      <c r="M65" s="3">
        <v>79</v>
      </c>
      <c r="N65" s="5">
        <v>86</v>
      </c>
    </row>
    <row r="66" spans="2:14" x14ac:dyDescent="0.3">
      <c r="B66" s="9">
        <v>42401</v>
      </c>
      <c r="C66" s="24" t="s">
        <v>10</v>
      </c>
      <c r="D66" s="4" t="s">
        <v>26</v>
      </c>
      <c r="E66" s="3" t="s">
        <v>15</v>
      </c>
      <c r="F66" s="5" t="s">
        <v>13</v>
      </c>
      <c r="G66" s="25">
        <v>66</v>
      </c>
      <c r="H66" s="3">
        <v>110</v>
      </c>
      <c r="I66" s="3">
        <v>115</v>
      </c>
      <c r="J66" s="3">
        <v>186</v>
      </c>
      <c r="K66" s="3">
        <v>205</v>
      </c>
      <c r="L66" s="3">
        <v>127</v>
      </c>
      <c r="M66" s="3">
        <v>159</v>
      </c>
      <c r="N66" s="5">
        <v>136</v>
      </c>
    </row>
    <row r="67" spans="2:14" x14ac:dyDescent="0.3">
      <c r="B67" s="9">
        <v>42402</v>
      </c>
      <c r="C67" s="24" t="s">
        <v>4</v>
      </c>
      <c r="D67" s="4" t="s">
        <v>14</v>
      </c>
      <c r="E67" s="3" t="s">
        <v>15</v>
      </c>
      <c r="F67" s="5" t="s">
        <v>13</v>
      </c>
      <c r="G67" s="25">
        <v>81</v>
      </c>
      <c r="H67" s="3">
        <v>143</v>
      </c>
      <c r="I67" s="3">
        <v>154</v>
      </c>
      <c r="J67" s="3">
        <v>204</v>
      </c>
      <c r="K67" s="3">
        <v>194</v>
      </c>
      <c r="L67" s="3">
        <v>168</v>
      </c>
      <c r="M67" s="3">
        <v>213</v>
      </c>
      <c r="N67" s="5">
        <v>165</v>
      </c>
    </row>
    <row r="68" spans="2:14" x14ac:dyDescent="0.3">
      <c r="B68" s="9">
        <v>42403</v>
      </c>
      <c r="C68" s="24" t="s">
        <v>5</v>
      </c>
      <c r="D68" s="4" t="s">
        <v>14</v>
      </c>
      <c r="E68" s="3" t="s">
        <v>16</v>
      </c>
      <c r="F68" s="5" t="s">
        <v>13</v>
      </c>
      <c r="G68" s="25">
        <v>102</v>
      </c>
      <c r="H68" s="3">
        <v>184</v>
      </c>
      <c r="I68" s="3">
        <v>430</v>
      </c>
      <c r="J68" s="3">
        <v>230</v>
      </c>
      <c r="K68" s="3">
        <v>210</v>
      </c>
      <c r="L68" s="3">
        <v>236</v>
      </c>
      <c r="M68" s="3">
        <v>286</v>
      </c>
      <c r="N68" s="5">
        <v>266</v>
      </c>
    </row>
    <row r="69" spans="2:14" x14ac:dyDescent="0.3">
      <c r="B69" s="9">
        <v>42404</v>
      </c>
      <c r="C69" s="24" t="s">
        <v>6</v>
      </c>
      <c r="D69" s="4" t="s">
        <v>14</v>
      </c>
      <c r="E69" s="3" t="s">
        <v>15</v>
      </c>
      <c r="F69" s="5" t="s">
        <v>13</v>
      </c>
      <c r="G69" s="25">
        <v>84</v>
      </c>
      <c r="H69" s="3">
        <v>145</v>
      </c>
      <c r="I69" s="3">
        <v>172</v>
      </c>
      <c r="J69" s="3">
        <v>194</v>
      </c>
      <c r="K69" s="3">
        <v>212</v>
      </c>
      <c r="L69" s="3">
        <v>173</v>
      </c>
      <c r="M69" s="3">
        <v>205</v>
      </c>
      <c r="N69" s="5">
        <v>167</v>
      </c>
    </row>
    <row r="70" spans="2:14" x14ac:dyDescent="0.3">
      <c r="B70" s="9">
        <v>42405</v>
      </c>
      <c r="C70" s="24" t="s">
        <v>7</v>
      </c>
      <c r="D70" s="4" t="s">
        <v>11</v>
      </c>
      <c r="E70" s="3" t="s">
        <v>16</v>
      </c>
      <c r="F70" s="5" t="s">
        <v>13</v>
      </c>
      <c r="G70" s="25">
        <v>98</v>
      </c>
      <c r="H70" s="3">
        <v>188</v>
      </c>
      <c r="I70" s="3">
        <v>424</v>
      </c>
      <c r="J70" s="3">
        <v>297</v>
      </c>
      <c r="K70" s="3">
        <v>226</v>
      </c>
      <c r="L70" s="3">
        <v>234</v>
      </c>
      <c r="M70" s="3">
        <v>297</v>
      </c>
      <c r="N70" s="5">
        <v>214</v>
      </c>
    </row>
    <row r="71" spans="2:14" x14ac:dyDescent="0.3">
      <c r="B71" s="9">
        <v>42406</v>
      </c>
      <c r="C71" s="24" t="s">
        <v>8</v>
      </c>
      <c r="D71" s="4" t="s">
        <v>11</v>
      </c>
      <c r="E71" s="3" t="s">
        <v>15</v>
      </c>
      <c r="F71" s="5" t="s">
        <v>13</v>
      </c>
      <c r="G71" s="25">
        <v>69</v>
      </c>
      <c r="H71" s="3">
        <v>122</v>
      </c>
      <c r="I71" s="3">
        <v>343</v>
      </c>
      <c r="J71" s="3">
        <v>217</v>
      </c>
      <c r="K71" s="3">
        <v>252</v>
      </c>
      <c r="L71" s="3">
        <v>143</v>
      </c>
      <c r="M71" s="3">
        <v>170</v>
      </c>
      <c r="N71" s="5">
        <v>126</v>
      </c>
    </row>
    <row r="72" spans="2:14" x14ac:dyDescent="0.3">
      <c r="B72" s="9">
        <v>42407</v>
      </c>
      <c r="C72" s="24" t="s">
        <v>9</v>
      </c>
      <c r="D72" s="4" t="s">
        <v>11</v>
      </c>
      <c r="E72" s="3" t="s">
        <v>15</v>
      </c>
      <c r="F72" s="5" t="s">
        <v>13</v>
      </c>
      <c r="G72" s="25">
        <v>66</v>
      </c>
      <c r="H72" s="3">
        <v>104</v>
      </c>
      <c r="I72" s="3">
        <v>373</v>
      </c>
      <c r="J72" s="3">
        <v>177</v>
      </c>
      <c r="K72" s="3">
        <v>263</v>
      </c>
      <c r="L72" s="3">
        <v>114</v>
      </c>
      <c r="M72" s="3">
        <v>86</v>
      </c>
      <c r="N72" s="5">
        <v>98</v>
      </c>
    </row>
    <row r="73" spans="2:14" x14ac:dyDescent="0.3">
      <c r="B73" s="9">
        <v>42408</v>
      </c>
      <c r="C73" s="24" t="s">
        <v>10</v>
      </c>
      <c r="D73" s="4" t="s">
        <v>11</v>
      </c>
      <c r="E73" s="3" t="s">
        <v>15</v>
      </c>
      <c r="F73" s="5" t="s">
        <v>30</v>
      </c>
      <c r="G73" s="25">
        <v>75</v>
      </c>
      <c r="H73" s="3">
        <v>100</v>
      </c>
      <c r="I73" s="3">
        <v>413</v>
      </c>
      <c r="J73" s="3">
        <v>182</v>
      </c>
      <c r="K73" s="3">
        <v>230</v>
      </c>
      <c r="L73" s="3">
        <v>111</v>
      </c>
      <c r="M73" s="3">
        <v>106</v>
      </c>
      <c r="N73" s="5">
        <v>100</v>
      </c>
    </row>
    <row r="74" spans="2:14" x14ac:dyDescent="0.3">
      <c r="B74" s="9">
        <v>42409</v>
      </c>
      <c r="C74" s="24" t="s">
        <v>4</v>
      </c>
      <c r="D74" s="4" t="s">
        <v>11</v>
      </c>
      <c r="E74" s="3" t="s">
        <v>15</v>
      </c>
      <c r="F74" s="5" t="s">
        <v>13</v>
      </c>
      <c r="G74" s="25">
        <v>88</v>
      </c>
      <c r="H74" s="3">
        <v>149</v>
      </c>
      <c r="I74" s="3">
        <v>270</v>
      </c>
      <c r="J74" s="3">
        <v>236</v>
      </c>
      <c r="K74" s="3">
        <v>198</v>
      </c>
      <c r="L74" s="3">
        <v>187</v>
      </c>
      <c r="M74" s="3">
        <v>246</v>
      </c>
      <c r="N74" s="5">
        <v>202</v>
      </c>
    </row>
    <row r="75" spans="2:14" x14ac:dyDescent="0.3">
      <c r="B75" s="9">
        <v>42410</v>
      </c>
      <c r="C75" s="24" t="s">
        <v>5</v>
      </c>
      <c r="D75" s="4" t="s">
        <v>11</v>
      </c>
      <c r="E75" s="3" t="s">
        <v>16</v>
      </c>
      <c r="F75" s="5" t="s">
        <v>30</v>
      </c>
      <c r="G75" s="25">
        <v>89</v>
      </c>
      <c r="H75" s="3">
        <v>124</v>
      </c>
      <c r="I75" s="3">
        <v>1252</v>
      </c>
      <c r="J75" s="3">
        <v>214</v>
      </c>
      <c r="K75" s="3">
        <v>233</v>
      </c>
      <c r="L75" s="3">
        <v>141</v>
      </c>
      <c r="M75" s="3">
        <v>161</v>
      </c>
      <c r="N75" s="5">
        <v>161</v>
      </c>
    </row>
    <row r="76" spans="2:14" x14ac:dyDescent="0.3">
      <c r="B76" s="9">
        <v>42411</v>
      </c>
      <c r="C76" s="24" t="s">
        <v>6</v>
      </c>
      <c r="D76" s="4" t="s">
        <v>11</v>
      </c>
      <c r="E76" s="3" t="s">
        <v>12</v>
      </c>
      <c r="F76" s="5" t="s">
        <v>13</v>
      </c>
      <c r="G76" s="25">
        <v>86</v>
      </c>
      <c r="H76" s="3">
        <v>155</v>
      </c>
      <c r="I76" s="3">
        <v>541</v>
      </c>
      <c r="J76" s="3">
        <v>239</v>
      </c>
      <c r="K76" s="3">
        <v>214</v>
      </c>
      <c r="L76" s="3">
        <v>184</v>
      </c>
      <c r="M76" s="3">
        <v>218</v>
      </c>
      <c r="N76" s="5">
        <v>180</v>
      </c>
    </row>
    <row r="77" spans="2:14" x14ac:dyDescent="0.3">
      <c r="B77" s="9">
        <v>42412</v>
      </c>
      <c r="C77" s="24" t="s">
        <v>7</v>
      </c>
      <c r="D77" s="4" t="s">
        <v>11</v>
      </c>
      <c r="E77" s="3" t="s">
        <v>15</v>
      </c>
      <c r="F77" s="5" t="s">
        <v>13</v>
      </c>
      <c r="G77" s="25">
        <v>93</v>
      </c>
      <c r="H77" s="3">
        <v>152</v>
      </c>
      <c r="I77" s="3">
        <v>315</v>
      </c>
      <c r="J77" s="3">
        <v>243</v>
      </c>
      <c r="K77" s="3">
        <v>225</v>
      </c>
      <c r="L77" s="3">
        <v>188</v>
      </c>
      <c r="M77" s="3">
        <v>211</v>
      </c>
      <c r="N77" s="5">
        <v>157</v>
      </c>
    </row>
    <row r="78" spans="2:14" x14ac:dyDescent="0.3">
      <c r="B78" s="9">
        <v>42413</v>
      </c>
      <c r="C78" s="24" t="s">
        <v>8</v>
      </c>
      <c r="D78" s="4" t="s">
        <v>11</v>
      </c>
      <c r="E78" s="3" t="s">
        <v>12</v>
      </c>
      <c r="F78" s="5" t="s">
        <v>13</v>
      </c>
      <c r="G78" s="25">
        <v>78</v>
      </c>
      <c r="H78" s="3">
        <v>130</v>
      </c>
      <c r="I78" s="3">
        <v>654</v>
      </c>
      <c r="J78" s="3">
        <v>230</v>
      </c>
      <c r="K78" s="3">
        <v>252</v>
      </c>
      <c r="L78" s="3">
        <v>148</v>
      </c>
      <c r="M78" s="3">
        <v>155</v>
      </c>
      <c r="N78" s="5">
        <v>115</v>
      </c>
    </row>
    <row r="79" spans="2:14" x14ac:dyDescent="0.3">
      <c r="B79" s="9">
        <v>42414</v>
      </c>
      <c r="C79" s="24" t="s">
        <v>9</v>
      </c>
      <c r="D79" s="4" t="s">
        <v>11</v>
      </c>
      <c r="E79" s="3" t="s">
        <v>12</v>
      </c>
      <c r="F79" s="5" t="s">
        <v>30</v>
      </c>
      <c r="G79" s="25">
        <v>53</v>
      </c>
      <c r="H79" s="3">
        <v>93</v>
      </c>
      <c r="I79" s="3">
        <v>1049</v>
      </c>
      <c r="J79" s="3">
        <v>152</v>
      </c>
      <c r="K79" s="3">
        <v>299</v>
      </c>
      <c r="L79" s="3">
        <v>97</v>
      </c>
      <c r="M79" s="3">
        <v>61</v>
      </c>
      <c r="N79" s="5">
        <v>65</v>
      </c>
    </row>
    <row r="80" spans="2:14" x14ac:dyDescent="0.3">
      <c r="B80" s="9">
        <v>42415</v>
      </c>
      <c r="C80" s="24" t="s">
        <v>10</v>
      </c>
      <c r="D80" s="4" t="s">
        <v>11</v>
      </c>
      <c r="E80" s="3" t="s">
        <v>15</v>
      </c>
      <c r="F80" s="5" t="s">
        <v>30</v>
      </c>
      <c r="G80" s="25">
        <v>72</v>
      </c>
      <c r="H80" s="3">
        <v>103</v>
      </c>
      <c r="I80" s="3">
        <v>431</v>
      </c>
      <c r="J80" s="3">
        <v>187</v>
      </c>
      <c r="K80" s="3">
        <v>234</v>
      </c>
      <c r="L80" s="3">
        <v>118</v>
      </c>
      <c r="M80" s="3">
        <v>110</v>
      </c>
      <c r="N80" s="5">
        <v>103</v>
      </c>
    </row>
    <row r="81" spans="2:14" x14ac:dyDescent="0.3">
      <c r="B81" s="9">
        <v>42416</v>
      </c>
      <c r="C81" s="24" t="s">
        <v>4</v>
      </c>
      <c r="D81" s="4" t="s">
        <v>11</v>
      </c>
      <c r="E81" s="3" t="s">
        <v>29</v>
      </c>
      <c r="F81" s="5" t="s">
        <v>13</v>
      </c>
      <c r="G81" s="25">
        <v>104</v>
      </c>
      <c r="H81" s="3">
        <v>203</v>
      </c>
      <c r="I81" s="3">
        <v>505</v>
      </c>
      <c r="J81" s="3">
        <v>350</v>
      </c>
      <c r="K81" s="3">
        <v>205</v>
      </c>
      <c r="L81" s="3">
        <v>266</v>
      </c>
      <c r="M81" s="3">
        <v>430</v>
      </c>
      <c r="N81" s="5">
        <v>337</v>
      </c>
    </row>
    <row r="82" spans="2:14" x14ac:dyDescent="0.3">
      <c r="B82" s="9">
        <v>42417</v>
      </c>
      <c r="C82" s="24" t="s">
        <v>5</v>
      </c>
      <c r="D82" s="4" t="s">
        <v>11</v>
      </c>
      <c r="E82" s="3" t="s">
        <v>15</v>
      </c>
      <c r="F82" s="5" t="s">
        <v>13</v>
      </c>
      <c r="G82" s="25">
        <v>95</v>
      </c>
      <c r="H82" s="3">
        <v>163</v>
      </c>
      <c r="I82" s="3">
        <v>622</v>
      </c>
      <c r="J82" s="3">
        <v>228</v>
      </c>
      <c r="K82" s="3">
        <v>219</v>
      </c>
      <c r="L82" s="3">
        <v>199</v>
      </c>
      <c r="M82" s="3">
        <v>234</v>
      </c>
      <c r="N82" s="5">
        <v>224</v>
      </c>
    </row>
    <row r="83" spans="2:14" x14ac:dyDescent="0.3">
      <c r="B83" s="9">
        <v>42418</v>
      </c>
      <c r="C83" s="24" t="s">
        <v>6</v>
      </c>
      <c r="D83" s="4" t="s">
        <v>11</v>
      </c>
      <c r="E83" s="3" t="s">
        <v>12</v>
      </c>
      <c r="F83" s="5" t="s">
        <v>13</v>
      </c>
      <c r="G83" s="25">
        <v>96</v>
      </c>
      <c r="H83" s="3">
        <v>155</v>
      </c>
      <c r="I83" s="3">
        <v>567</v>
      </c>
      <c r="J83" s="3">
        <v>239</v>
      </c>
      <c r="K83" s="3">
        <v>221</v>
      </c>
      <c r="L83" s="3">
        <v>193</v>
      </c>
      <c r="M83" s="3">
        <v>221</v>
      </c>
      <c r="N83" s="5">
        <v>188</v>
      </c>
    </row>
    <row r="84" spans="2:14" x14ac:dyDescent="0.3">
      <c r="B84" s="9">
        <v>42419</v>
      </c>
      <c r="C84" s="24" t="s">
        <v>7</v>
      </c>
      <c r="D84" s="4" t="s">
        <v>11</v>
      </c>
      <c r="E84" s="3" t="s">
        <v>12</v>
      </c>
      <c r="F84" s="5" t="s">
        <v>13</v>
      </c>
      <c r="G84" s="25">
        <v>91</v>
      </c>
      <c r="H84" s="3">
        <v>152</v>
      </c>
      <c r="I84" s="3">
        <v>599</v>
      </c>
      <c r="J84" s="3">
        <v>257</v>
      </c>
      <c r="K84" s="3">
        <v>231</v>
      </c>
      <c r="L84" s="3">
        <v>192</v>
      </c>
      <c r="M84" s="3">
        <v>193</v>
      </c>
      <c r="N84" s="5">
        <v>145</v>
      </c>
    </row>
    <row r="85" spans="2:14" x14ac:dyDescent="0.3">
      <c r="B85" s="9">
        <v>42420</v>
      </c>
      <c r="C85" s="24" t="s">
        <v>8</v>
      </c>
      <c r="D85" s="4" t="s">
        <v>14</v>
      </c>
      <c r="E85" s="3" t="s">
        <v>12</v>
      </c>
      <c r="F85" s="5" t="s">
        <v>13</v>
      </c>
      <c r="G85" s="25">
        <v>70</v>
      </c>
      <c r="H85" s="3">
        <v>126</v>
      </c>
      <c r="I85" s="3">
        <v>377</v>
      </c>
      <c r="J85" s="3">
        <v>211</v>
      </c>
      <c r="K85" s="3">
        <v>262</v>
      </c>
      <c r="L85" s="3">
        <v>145</v>
      </c>
      <c r="M85" s="3">
        <v>141</v>
      </c>
      <c r="N85" s="5">
        <v>111</v>
      </c>
    </row>
    <row r="86" spans="2:14" x14ac:dyDescent="0.3">
      <c r="B86" s="9">
        <v>42421</v>
      </c>
      <c r="C86" s="24" t="s">
        <v>9</v>
      </c>
      <c r="D86" s="4" t="s">
        <v>14</v>
      </c>
      <c r="E86" s="3" t="s">
        <v>15</v>
      </c>
      <c r="F86" s="5" t="s">
        <v>13</v>
      </c>
      <c r="G86" s="25">
        <v>59</v>
      </c>
      <c r="H86" s="3">
        <v>106</v>
      </c>
      <c r="I86" s="3">
        <v>237</v>
      </c>
      <c r="J86" s="3">
        <v>172</v>
      </c>
      <c r="K86" s="3">
        <v>286</v>
      </c>
      <c r="L86" s="3">
        <v>111</v>
      </c>
      <c r="M86" s="3">
        <v>84</v>
      </c>
      <c r="N86" s="5">
        <v>90</v>
      </c>
    </row>
    <row r="87" spans="2:14" x14ac:dyDescent="0.3">
      <c r="B87" s="9">
        <v>42422</v>
      </c>
      <c r="C87" s="24" t="s">
        <v>10</v>
      </c>
      <c r="D87" s="4" t="s">
        <v>14</v>
      </c>
      <c r="E87" s="3" t="s">
        <v>12</v>
      </c>
      <c r="F87" s="5" t="s">
        <v>13</v>
      </c>
      <c r="G87" s="25">
        <v>86</v>
      </c>
      <c r="H87" s="3">
        <v>140</v>
      </c>
      <c r="I87" s="3">
        <v>324</v>
      </c>
      <c r="J87" s="3">
        <v>223</v>
      </c>
      <c r="K87" s="3">
        <v>231</v>
      </c>
      <c r="L87" s="3">
        <v>171</v>
      </c>
      <c r="M87" s="3">
        <v>161</v>
      </c>
      <c r="N87" s="5">
        <v>139</v>
      </c>
    </row>
    <row r="88" spans="2:14" x14ac:dyDescent="0.3">
      <c r="B88" s="9">
        <v>42423</v>
      </c>
      <c r="C88" s="24" t="s">
        <v>4</v>
      </c>
      <c r="D88" s="4" t="s">
        <v>11</v>
      </c>
      <c r="E88" s="3" t="s">
        <v>15</v>
      </c>
      <c r="F88" s="5" t="s">
        <v>13</v>
      </c>
      <c r="G88" s="25">
        <v>92</v>
      </c>
      <c r="H88" s="3">
        <v>152</v>
      </c>
      <c r="I88" s="3">
        <v>293</v>
      </c>
      <c r="J88" s="3">
        <v>248</v>
      </c>
      <c r="K88" s="3">
        <v>206</v>
      </c>
      <c r="L88" s="3">
        <v>202</v>
      </c>
      <c r="M88" s="3">
        <v>250</v>
      </c>
      <c r="N88" s="5">
        <v>211</v>
      </c>
    </row>
    <row r="89" spans="2:14" x14ac:dyDescent="0.3">
      <c r="B89" s="9">
        <v>42424</v>
      </c>
      <c r="C89" s="24" t="s">
        <v>5</v>
      </c>
      <c r="D89" s="4" t="s">
        <v>11</v>
      </c>
      <c r="E89" s="3" t="s">
        <v>29</v>
      </c>
      <c r="F89" s="5" t="s">
        <v>13</v>
      </c>
      <c r="G89" s="25">
        <v>123</v>
      </c>
      <c r="H89" s="3">
        <v>221</v>
      </c>
      <c r="I89" s="3">
        <v>1245</v>
      </c>
      <c r="J89" s="3">
        <v>329</v>
      </c>
      <c r="K89" s="3">
        <v>227</v>
      </c>
      <c r="L89" s="3">
        <v>297</v>
      </c>
      <c r="M89" s="3">
        <v>392</v>
      </c>
      <c r="N89" s="5">
        <v>384</v>
      </c>
    </row>
    <row r="90" spans="2:14" x14ac:dyDescent="0.3">
      <c r="B90" s="9">
        <v>42425</v>
      </c>
      <c r="C90" s="24" t="s">
        <v>6</v>
      </c>
      <c r="D90" s="4" t="s">
        <v>14</v>
      </c>
      <c r="E90" s="3" t="s">
        <v>15</v>
      </c>
      <c r="F90" s="5" t="s">
        <v>13</v>
      </c>
      <c r="G90" s="25">
        <v>85</v>
      </c>
      <c r="H90" s="3">
        <v>150</v>
      </c>
      <c r="I90" s="3">
        <v>193</v>
      </c>
      <c r="J90" s="3">
        <v>213</v>
      </c>
      <c r="K90" s="3">
        <v>236</v>
      </c>
      <c r="L90" s="3">
        <v>189</v>
      </c>
      <c r="M90" s="3">
        <v>215</v>
      </c>
      <c r="N90" s="5">
        <v>185</v>
      </c>
    </row>
    <row r="91" spans="2:14" x14ac:dyDescent="0.3">
      <c r="B91" s="9">
        <v>42426</v>
      </c>
      <c r="C91" s="24" t="s">
        <v>7</v>
      </c>
      <c r="D91" s="4" t="s">
        <v>11</v>
      </c>
      <c r="E91" s="3" t="s">
        <v>12</v>
      </c>
      <c r="F91" s="5" t="s">
        <v>13</v>
      </c>
      <c r="G91" s="25">
        <v>87</v>
      </c>
      <c r="H91" s="3">
        <v>148</v>
      </c>
      <c r="I91" s="3">
        <v>634</v>
      </c>
      <c r="J91" s="3">
        <v>262</v>
      </c>
      <c r="K91" s="3">
        <v>238</v>
      </c>
      <c r="L91" s="3">
        <v>190</v>
      </c>
      <c r="M91" s="3">
        <v>190</v>
      </c>
      <c r="N91" s="5">
        <v>147</v>
      </c>
    </row>
    <row r="92" spans="2:14" x14ac:dyDescent="0.3">
      <c r="B92" s="9">
        <v>42427</v>
      </c>
      <c r="C92" s="24" t="s">
        <v>8</v>
      </c>
      <c r="D92" s="4" t="s">
        <v>11</v>
      </c>
      <c r="E92" s="3" t="s">
        <v>15</v>
      </c>
      <c r="F92" s="5" t="s">
        <v>13</v>
      </c>
      <c r="G92" s="25">
        <v>82</v>
      </c>
      <c r="H92" s="3">
        <v>131</v>
      </c>
      <c r="I92" s="3">
        <v>393</v>
      </c>
      <c r="J92" s="3">
        <v>238</v>
      </c>
      <c r="K92" s="3">
        <v>272</v>
      </c>
      <c r="L92" s="3">
        <v>152</v>
      </c>
      <c r="M92" s="3">
        <v>176</v>
      </c>
      <c r="N92" s="5">
        <v>136</v>
      </c>
    </row>
    <row r="93" spans="2:14" x14ac:dyDescent="0.3">
      <c r="B93" s="9">
        <v>42428</v>
      </c>
      <c r="C93" s="24" t="s">
        <v>9</v>
      </c>
      <c r="D93" s="4" t="s">
        <v>11</v>
      </c>
      <c r="E93" s="3" t="s">
        <v>15</v>
      </c>
      <c r="F93" s="5" t="s">
        <v>13</v>
      </c>
      <c r="G93" s="25">
        <v>71</v>
      </c>
      <c r="H93" s="3">
        <v>102</v>
      </c>
      <c r="I93" s="3">
        <v>426</v>
      </c>
      <c r="J93" s="3">
        <v>193</v>
      </c>
      <c r="K93" s="3">
        <v>293</v>
      </c>
      <c r="L93" s="3">
        <v>119</v>
      </c>
      <c r="M93" s="3">
        <v>87</v>
      </c>
      <c r="N93" s="5">
        <v>102</v>
      </c>
    </row>
    <row r="94" spans="2:14" x14ac:dyDescent="0.3">
      <c r="B94" s="9">
        <v>42429</v>
      </c>
      <c r="C94" s="24" t="s">
        <v>10</v>
      </c>
      <c r="D94" s="4" t="s">
        <v>14</v>
      </c>
      <c r="E94" s="3" t="s">
        <v>15</v>
      </c>
      <c r="F94" s="5" t="s">
        <v>13</v>
      </c>
      <c r="G94" s="25">
        <v>81</v>
      </c>
      <c r="H94" s="3">
        <v>146</v>
      </c>
      <c r="I94" s="3">
        <v>196</v>
      </c>
      <c r="J94" s="3">
        <v>223</v>
      </c>
      <c r="K94" s="3">
        <v>232</v>
      </c>
      <c r="L94" s="3">
        <v>178</v>
      </c>
      <c r="M94" s="3">
        <v>181</v>
      </c>
      <c r="N94" s="5">
        <v>160</v>
      </c>
    </row>
    <row r="95" spans="2:14" x14ac:dyDescent="0.3">
      <c r="B95" s="9">
        <v>42430</v>
      </c>
      <c r="C95" s="24" t="s">
        <v>4</v>
      </c>
      <c r="D95" s="4" t="s">
        <v>11</v>
      </c>
      <c r="E95" s="3" t="s">
        <v>12</v>
      </c>
      <c r="F95" s="5" t="s">
        <v>13</v>
      </c>
      <c r="G95" s="25">
        <v>247</v>
      </c>
      <c r="H95" s="3">
        <v>226</v>
      </c>
      <c r="I95" s="3">
        <v>114</v>
      </c>
      <c r="J95" s="3">
        <v>144</v>
      </c>
      <c r="K95" s="3">
        <v>204</v>
      </c>
      <c r="L95" s="3">
        <v>161</v>
      </c>
      <c r="M95" s="3">
        <v>223</v>
      </c>
      <c r="N95" s="5">
        <v>127</v>
      </c>
    </row>
    <row r="96" spans="2:14" x14ac:dyDescent="0.3">
      <c r="B96" s="9">
        <v>42431</v>
      </c>
      <c r="C96" s="24" t="s">
        <v>5</v>
      </c>
      <c r="D96" s="4" t="s">
        <v>14</v>
      </c>
      <c r="E96" s="3" t="s">
        <v>15</v>
      </c>
      <c r="F96" s="5" t="s">
        <v>13</v>
      </c>
      <c r="G96" s="25">
        <v>110</v>
      </c>
      <c r="H96" s="3">
        <v>212</v>
      </c>
      <c r="I96" s="3">
        <v>138</v>
      </c>
      <c r="J96" s="3">
        <v>164</v>
      </c>
      <c r="K96" s="3">
        <v>224</v>
      </c>
      <c r="L96" s="3">
        <v>231</v>
      </c>
      <c r="M96" s="3">
        <v>150</v>
      </c>
      <c r="N96" s="5">
        <v>239</v>
      </c>
    </row>
    <row r="97" spans="2:14" x14ac:dyDescent="0.3">
      <c r="B97" s="9">
        <v>42432</v>
      </c>
      <c r="C97" s="24" t="s">
        <v>6</v>
      </c>
      <c r="D97" s="4" t="s">
        <v>11</v>
      </c>
      <c r="E97" s="3" t="s">
        <v>15</v>
      </c>
      <c r="F97" s="5" t="s">
        <v>13</v>
      </c>
      <c r="G97" s="25">
        <v>194</v>
      </c>
      <c r="H97" s="3">
        <v>99</v>
      </c>
      <c r="I97" s="3">
        <v>93</v>
      </c>
      <c r="J97" s="3">
        <v>177</v>
      </c>
      <c r="K97" s="3">
        <v>90</v>
      </c>
      <c r="L97" s="3">
        <v>166</v>
      </c>
      <c r="M97" s="3">
        <v>191</v>
      </c>
      <c r="N97" s="5">
        <v>124</v>
      </c>
    </row>
    <row r="98" spans="2:14" x14ac:dyDescent="0.3">
      <c r="B98" s="9">
        <v>42433</v>
      </c>
      <c r="C98" s="24" t="s">
        <v>7</v>
      </c>
      <c r="D98" s="4" t="s">
        <v>11</v>
      </c>
      <c r="E98" s="3" t="s">
        <v>16</v>
      </c>
      <c r="F98" s="5" t="s">
        <v>13</v>
      </c>
      <c r="G98" s="25">
        <v>233</v>
      </c>
      <c r="H98" s="3">
        <v>122</v>
      </c>
      <c r="I98" s="3">
        <v>234</v>
      </c>
      <c r="J98" s="3">
        <v>103</v>
      </c>
      <c r="K98" s="3">
        <v>231</v>
      </c>
      <c r="L98" s="3">
        <v>186</v>
      </c>
      <c r="M98" s="3">
        <v>127</v>
      </c>
      <c r="N98" s="5">
        <v>138</v>
      </c>
    </row>
    <row r="99" spans="2:14" x14ac:dyDescent="0.3">
      <c r="B99" s="9">
        <v>42434</v>
      </c>
      <c r="C99" s="24" t="s">
        <v>8</v>
      </c>
      <c r="D99" s="4" t="s">
        <v>11</v>
      </c>
      <c r="E99" s="3" t="s">
        <v>12</v>
      </c>
      <c r="F99" s="5" t="s">
        <v>13</v>
      </c>
      <c r="G99" s="25">
        <v>211</v>
      </c>
      <c r="H99" s="3">
        <v>133</v>
      </c>
      <c r="I99" s="3">
        <v>138</v>
      </c>
      <c r="J99" s="3">
        <v>219</v>
      </c>
      <c r="K99" s="3">
        <v>105</v>
      </c>
      <c r="L99" s="3">
        <v>240</v>
      </c>
      <c r="M99" s="3">
        <v>144</v>
      </c>
      <c r="N99" s="5">
        <v>204</v>
      </c>
    </row>
    <row r="100" spans="2:14" x14ac:dyDescent="0.3">
      <c r="B100" s="9">
        <v>42435</v>
      </c>
      <c r="C100" s="24" t="s">
        <v>9</v>
      </c>
      <c r="D100" s="4" t="s">
        <v>11</v>
      </c>
      <c r="E100" s="3" t="s">
        <v>12</v>
      </c>
      <c r="F100" s="5" t="s">
        <v>13</v>
      </c>
      <c r="G100" s="25">
        <v>192</v>
      </c>
      <c r="H100" s="3">
        <v>126</v>
      </c>
      <c r="I100" s="3">
        <v>231</v>
      </c>
      <c r="J100" s="3">
        <v>151</v>
      </c>
      <c r="K100" s="3">
        <v>112</v>
      </c>
      <c r="L100" s="3">
        <v>115</v>
      </c>
      <c r="M100" s="3">
        <v>156</v>
      </c>
      <c r="N100" s="5">
        <v>181</v>
      </c>
    </row>
    <row r="101" spans="2:14" x14ac:dyDescent="0.3">
      <c r="B101" s="9">
        <v>42436</v>
      </c>
      <c r="C101" s="24" t="s">
        <v>10</v>
      </c>
      <c r="D101" s="4" t="s">
        <v>14</v>
      </c>
      <c r="E101" s="3" t="s">
        <v>15</v>
      </c>
      <c r="F101" s="5" t="s">
        <v>13</v>
      </c>
      <c r="G101" s="25">
        <v>104</v>
      </c>
      <c r="H101" s="3">
        <v>152</v>
      </c>
      <c r="I101" s="3">
        <v>130</v>
      </c>
      <c r="J101" s="3">
        <v>245</v>
      </c>
      <c r="K101" s="3">
        <v>165</v>
      </c>
      <c r="L101" s="3">
        <v>142</v>
      </c>
      <c r="M101" s="3">
        <v>174</v>
      </c>
      <c r="N101" s="5">
        <v>91</v>
      </c>
    </row>
    <row r="102" spans="2:14" x14ac:dyDescent="0.3">
      <c r="B102" s="9">
        <v>42437</v>
      </c>
      <c r="C102" s="24" t="s">
        <v>4</v>
      </c>
      <c r="D102" s="4" t="s">
        <v>26</v>
      </c>
      <c r="E102" s="3" t="s">
        <v>15</v>
      </c>
      <c r="F102" s="5" t="s">
        <v>13</v>
      </c>
      <c r="G102" s="25">
        <v>115</v>
      </c>
      <c r="H102" s="3">
        <v>128</v>
      </c>
      <c r="I102" s="3">
        <v>157</v>
      </c>
      <c r="J102" s="3">
        <v>170</v>
      </c>
      <c r="K102" s="3">
        <v>98</v>
      </c>
      <c r="L102" s="3">
        <v>109</v>
      </c>
      <c r="M102" s="3">
        <v>184</v>
      </c>
      <c r="N102" s="5">
        <v>150</v>
      </c>
    </row>
    <row r="103" spans="2:14" x14ac:dyDescent="0.3">
      <c r="B103" s="9">
        <v>42438</v>
      </c>
      <c r="C103" s="24" t="s">
        <v>5</v>
      </c>
      <c r="D103" s="4" t="s">
        <v>26</v>
      </c>
      <c r="E103" s="3" t="s">
        <v>12</v>
      </c>
      <c r="F103" s="5" t="s">
        <v>13</v>
      </c>
      <c r="G103" s="25">
        <v>144</v>
      </c>
      <c r="H103" s="3">
        <v>219</v>
      </c>
      <c r="I103" s="3">
        <v>236</v>
      </c>
      <c r="J103" s="3">
        <v>163</v>
      </c>
      <c r="K103" s="3">
        <v>117</v>
      </c>
      <c r="L103" s="3">
        <v>189</v>
      </c>
      <c r="M103" s="3">
        <v>145</v>
      </c>
      <c r="N103" s="5">
        <v>155</v>
      </c>
    </row>
    <row r="104" spans="2:14" x14ac:dyDescent="0.3">
      <c r="B104" s="9">
        <v>42439</v>
      </c>
      <c r="C104" s="24" t="s">
        <v>6</v>
      </c>
      <c r="D104" s="4" t="s">
        <v>31</v>
      </c>
      <c r="E104" s="3" t="s">
        <v>15</v>
      </c>
      <c r="F104" s="5" t="s">
        <v>13</v>
      </c>
      <c r="G104" s="25">
        <v>46</v>
      </c>
      <c r="H104" s="3">
        <v>89</v>
      </c>
      <c r="I104" s="3">
        <v>76</v>
      </c>
      <c r="J104" s="3">
        <v>206</v>
      </c>
      <c r="K104" s="3">
        <v>240</v>
      </c>
      <c r="L104" s="3">
        <v>93</v>
      </c>
      <c r="M104" s="3">
        <v>173</v>
      </c>
      <c r="N104" s="5">
        <v>149</v>
      </c>
    </row>
    <row r="105" spans="2:14" x14ac:dyDescent="0.3">
      <c r="B105" s="9">
        <v>42440</v>
      </c>
      <c r="C105" s="24" t="s">
        <v>7</v>
      </c>
      <c r="D105" s="4" t="s">
        <v>14</v>
      </c>
      <c r="E105" s="3" t="s">
        <v>15</v>
      </c>
      <c r="F105" s="5" t="s">
        <v>13</v>
      </c>
      <c r="G105" s="25">
        <v>91</v>
      </c>
      <c r="H105" s="3">
        <v>151</v>
      </c>
      <c r="I105" s="3">
        <v>215</v>
      </c>
      <c r="J105" s="3">
        <v>237</v>
      </c>
      <c r="K105" s="3">
        <v>251</v>
      </c>
      <c r="L105" s="3">
        <v>196</v>
      </c>
      <c r="M105" s="3">
        <v>193</v>
      </c>
      <c r="N105" s="5">
        <v>154</v>
      </c>
    </row>
    <row r="106" spans="2:14" x14ac:dyDescent="0.3">
      <c r="B106" s="9">
        <v>42441</v>
      </c>
      <c r="C106" s="24" t="s">
        <v>8</v>
      </c>
      <c r="D106" s="4" t="s">
        <v>26</v>
      </c>
      <c r="E106" s="3" t="s">
        <v>15</v>
      </c>
      <c r="F106" s="5" t="s">
        <v>13</v>
      </c>
      <c r="G106" s="25">
        <v>60</v>
      </c>
      <c r="H106" s="3">
        <v>107</v>
      </c>
      <c r="I106" s="3">
        <v>157</v>
      </c>
      <c r="J106" s="3">
        <v>204</v>
      </c>
      <c r="K106" s="3">
        <v>290</v>
      </c>
      <c r="L106" s="3">
        <v>119</v>
      </c>
      <c r="M106" s="3">
        <v>143</v>
      </c>
      <c r="N106" s="5">
        <v>115</v>
      </c>
    </row>
    <row r="107" spans="2:14" x14ac:dyDescent="0.3">
      <c r="B107" s="9">
        <v>42442</v>
      </c>
      <c r="C107" s="24" t="s">
        <v>9</v>
      </c>
      <c r="D107" s="4" t="s">
        <v>26</v>
      </c>
      <c r="E107" s="3" t="s">
        <v>12</v>
      </c>
      <c r="F107" s="5" t="s">
        <v>13</v>
      </c>
      <c r="G107" s="25">
        <v>52</v>
      </c>
      <c r="H107" s="3">
        <v>97</v>
      </c>
      <c r="I107" s="3">
        <v>268</v>
      </c>
      <c r="J107" s="3">
        <v>176</v>
      </c>
      <c r="K107" s="3">
        <v>310</v>
      </c>
      <c r="L107" s="3">
        <v>101</v>
      </c>
      <c r="M107" s="3">
        <v>82</v>
      </c>
      <c r="N107" s="5">
        <v>84</v>
      </c>
    </row>
    <row r="108" spans="2:14" x14ac:dyDescent="0.3">
      <c r="B108" s="9">
        <v>42443</v>
      </c>
      <c r="C108" s="24" t="s">
        <v>10</v>
      </c>
      <c r="D108" s="4" t="s">
        <v>11</v>
      </c>
      <c r="E108" s="3" t="s">
        <v>16</v>
      </c>
      <c r="F108" s="5" t="s">
        <v>13</v>
      </c>
      <c r="G108" s="25">
        <v>103</v>
      </c>
      <c r="H108" s="3">
        <v>194</v>
      </c>
      <c r="I108" s="3">
        <v>522</v>
      </c>
      <c r="J108" s="3">
        <v>347</v>
      </c>
      <c r="K108" s="3">
        <v>252</v>
      </c>
      <c r="L108" s="3">
        <v>267</v>
      </c>
      <c r="M108" s="3">
        <v>311</v>
      </c>
      <c r="N108" s="5">
        <v>278</v>
      </c>
    </row>
    <row r="109" spans="2:14" x14ac:dyDescent="0.3">
      <c r="B109" s="9">
        <v>42444</v>
      </c>
      <c r="C109" s="24" t="s">
        <v>4</v>
      </c>
      <c r="D109" s="4" t="s">
        <v>14</v>
      </c>
      <c r="E109" s="3" t="s">
        <v>16</v>
      </c>
      <c r="F109" s="5" t="s">
        <v>13</v>
      </c>
      <c r="G109" s="25">
        <v>110</v>
      </c>
      <c r="H109" s="3">
        <v>187</v>
      </c>
      <c r="I109" s="3">
        <v>268</v>
      </c>
      <c r="J109" s="3">
        <v>296</v>
      </c>
      <c r="K109" s="3">
        <v>225</v>
      </c>
      <c r="L109" s="3">
        <v>268</v>
      </c>
      <c r="M109" s="3">
        <v>342</v>
      </c>
      <c r="N109" s="5">
        <v>284</v>
      </c>
    </row>
    <row r="110" spans="2:14" x14ac:dyDescent="0.3">
      <c r="B110" s="9">
        <v>42445</v>
      </c>
      <c r="C110" s="24" t="s">
        <v>5</v>
      </c>
      <c r="D110" s="4" t="s">
        <v>14</v>
      </c>
      <c r="E110" s="3" t="s">
        <v>15</v>
      </c>
      <c r="F110" s="5" t="s">
        <v>13</v>
      </c>
      <c r="G110" s="25">
        <v>100</v>
      </c>
      <c r="H110" s="3">
        <v>157</v>
      </c>
      <c r="I110" s="3">
        <v>409</v>
      </c>
      <c r="J110" s="3">
        <v>221</v>
      </c>
      <c r="K110" s="3">
        <v>246</v>
      </c>
      <c r="L110" s="3">
        <v>210</v>
      </c>
      <c r="M110" s="3">
        <v>211</v>
      </c>
      <c r="N110" s="5">
        <v>210</v>
      </c>
    </row>
    <row r="111" spans="2:14" x14ac:dyDescent="0.3">
      <c r="B111" s="9">
        <v>42446</v>
      </c>
      <c r="C111" s="24" t="s">
        <v>6</v>
      </c>
      <c r="D111" s="4" t="s">
        <v>14</v>
      </c>
      <c r="E111" s="3" t="s">
        <v>29</v>
      </c>
      <c r="F111" s="5" t="s">
        <v>30</v>
      </c>
      <c r="G111" s="25">
        <v>89</v>
      </c>
      <c r="H111" s="3">
        <v>116</v>
      </c>
      <c r="I111" s="3">
        <v>529</v>
      </c>
      <c r="J111" s="3">
        <v>243</v>
      </c>
      <c r="K111" s="3">
        <v>266</v>
      </c>
      <c r="L111" s="3">
        <v>147</v>
      </c>
      <c r="M111" s="3">
        <v>176</v>
      </c>
      <c r="N111" s="5">
        <v>161</v>
      </c>
    </row>
    <row r="112" spans="2:14" x14ac:dyDescent="0.3">
      <c r="B112" s="9">
        <v>42447</v>
      </c>
      <c r="C112" s="24" t="s">
        <v>7</v>
      </c>
      <c r="D112" s="4" t="s">
        <v>14</v>
      </c>
      <c r="E112" s="3" t="s">
        <v>15</v>
      </c>
      <c r="F112" s="5" t="s">
        <v>13</v>
      </c>
      <c r="G112" s="25">
        <v>89</v>
      </c>
      <c r="H112" s="3">
        <v>153</v>
      </c>
      <c r="I112" s="3">
        <v>222</v>
      </c>
      <c r="J112" s="3">
        <v>242</v>
      </c>
      <c r="K112" s="3">
        <v>264</v>
      </c>
      <c r="L112" s="3">
        <v>199</v>
      </c>
      <c r="M112" s="3">
        <v>197</v>
      </c>
      <c r="N112" s="5">
        <v>152</v>
      </c>
    </row>
    <row r="113" spans="2:14" x14ac:dyDescent="0.3">
      <c r="B113" s="9">
        <v>42448</v>
      </c>
      <c r="C113" s="24" t="s">
        <v>8</v>
      </c>
      <c r="D113" s="4" t="s">
        <v>11</v>
      </c>
      <c r="E113" s="3" t="s">
        <v>12</v>
      </c>
      <c r="F113" s="5" t="s">
        <v>13</v>
      </c>
      <c r="G113" s="25">
        <v>81</v>
      </c>
      <c r="H113" s="3">
        <v>127</v>
      </c>
      <c r="I113" s="3">
        <v>840</v>
      </c>
      <c r="J113" s="3">
        <v>264</v>
      </c>
      <c r="K113" s="3">
        <v>293</v>
      </c>
      <c r="L113" s="3">
        <v>162</v>
      </c>
      <c r="M113" s="3">
        <v>167</v>
      </c>
      <c r="N113" s="5">
        <v>132</v>
      </c>
    </row>
    <row r="114" spans="2:14" x14ac:dyDescent="0.3">
      <c r="B114" s="9">
        <v>42449</v>
      </c>
      <c r="C114" s="24" t="s">
        <v>9</v>
      </c>
      <c r="D114" s="4" t="s">
        <v>11</v>
      </c>
      <c r="E114" s="3" t="s">
        <v>12</v>
      </c>
      <c r="F114" s="5" t="s">
        <v>13</v>
      </c>
      <c r="G114" s="25">
        <v>68</v>
      </c>
      <c r="H114" s="3">
        <v>109</v>
      </c>
      <c r="I114" s="3">
        <v>911</v>
      </c>
      <c r="J114" s="3">
        <v>222</v>
      </c>
      <c r="K114" s="3">
        <v>317</v>
      </c>
      <c r="L114" s="3">
        <v>124</v>
      </c>
      <c r="M114" s="3">
        <v>92</v>
      </c>
      <c r="N114" s="5">
        <v>100</v>
      </c>
    </row>
    <row r="115" spans="2:14" x14ac:dyDescent="0.3">
      <c r="B115" s="9">
        <v>42450</v>
      </c>
      <c r="C115" s="24" t="s">
        <v>10</v>
      </c>
      <c r="D115" s="4" t="s">
        <v>11</v>
      </c>
      <c r="E115" s="3" t="s">
        <v>16</v>
      </c>
      <c r="F115" s="5" t="s">
        <v>13</v>
      </c>
      <c r="G115" s="25">
        <v>113</v>
      </c>
      <c r="H115" s="3">
        <v>191</v>
      </c>
      <c r="I115" s="3">
        <v>545</v>
      </c>
      <c r="J115" s="3">
        <v>355</v>
      </c>
      <c r="K115" s="3">
        <v>255</v>
      </c>
      <c r="L115" s="3">
        <v>275</v>
      </c>
      <c r="M115" s="3">
        <v>317</v>
      </c>
      <c r="N115" s="5">
        <v>282</v>
      </c>
    </row>
    <row r="116" spans="2:14" x14ac:dyDescent="0.3">
      <c r="B116" s="9">
        <v>42451</v>
      </c>
      <c r="C116" s="24" t="s">
        <v>4</v>
      </c>
      <c r="D116" s="4" t="s">
        <v>11</v>
      </c>
      <c r="E116" s="3" t="s">
        <v>12</v>
      </c>
      <c r="F116" s="5" t="s">
        <v>13</v>
      </c>
      <c r="G116" s="25">
        <v>103</v>
      </c>
      <c r="H116" s="3">
        <v>166</v>
      </c>
      <c r="I116" s="3">
        <v>631</v>
      </c>
      <c r="J116" s="3">
        <v>293</v>
      </c>
      <c r="K116" s="3">
        <v>232</v>
      </c>
      <c r="L116" s="3">
        <v>214</v>
      </c>
      <c r="M116" s="3">
        <v>239</v>
      </c>
      <c r="N116" s="5">
        <v>204</v>
      </c>
    </row>
    <row r="117" spans="2:14" x14ac:dyDescent="0.3">
      <c r="B117" s="9">
        <v>42452</v>
      </c>
      <c r="C117" s="24" t="s">
        <v>5</v>
      </c>
      <c r="D117" s="4" t="s">
        <v>14</v>
      </c>
      <c r="E117" s="3" t="s">
        <v>15</v>
      </c>
      <c r="F117" s="5" t="s">
        <v>13</v>
      </c>
      <c r="G117" s="25">
        <v>103</v>
      </c>
      <c r="H117" s="3">
        <v>164</v>
      </c>
      <c r="I117" s="3">
        <v>425</v>
      </c>
      <c r="J117" s="3">
        <v>228</v>
      </c>
      <c r="K117" s="3">
        <v>256</v>
      </c>
      <c r="L117" s="3">
        <v>215</v>
      </c>
      <c r="M117" s="3">
        <v>216</v>
      </c>
      <c r="N117" s="5">
        <v>212</v>
      </c>
    </row>
    <row r="118" spans="2:14" x14ac:dyDescent="0.3">
      <c r="B118" s="9">
        <v>42453</v>
      </c>
      <c r="C118" s="24" t="s">
        <v>6</v>
      </c>
      <c r="D118" s="4" t="s">
        <v>14</v>
      </c>
      <c r="E118" s="3" t="s">
        <v>15</v>
      </c>
      <c r="F118" s="5" t="s">
        <v>13</v>
      </c>
      <c r="G118" s="25">
        <v>101</v>
      </c>
      <c r="H118" s="3">
        <v>160</v>
      </c>
      <c r="I118" s="3">
        <v>222</v>
      </c>
      <c r="J118" s="3">
        <v>234</v>
      </c>
      <c r="K118" s="3">
        <v>259</v>
      </c>
      <c r="L118" s="3">
        <v>202</v>
      </c>
      <c r="M118" s="3">
        <v>231</v>
      </c>
      <c r="N118" s="5">
        <v>201</v>
      </c>
    </row>
    <row r="119" spans="2:14" x14ac:dyDescent="0.3">
      <c r="B119" s="9">
        <v>42454</v>
      </c>
      <c r="C119" s="24" t="s">
        <v>7</v>
      </c>
      <c r="D119" s="4" t="s">
        <v>11</v>
      </c>
      <c r="E119" s="3" t="s">
        <v>16</v>
      </c>
      <c r="F119" s="5" t="s">
        <v>30</v>
      </c>
      <c r="G119" s="25">
        <v>97</v>
      </c>
      <c r="H119" s="3">
        <v>119</v>
      </c>
      <c r="I119" s="3">
        <v>841</v>
      </c>
      <c r="J119" s="3">
        <v>271</v>
      </c>
      <c r="K119" s="3">
        <v>289</v>
      </c>
      <c r="L119" s="3">
        <v>145</v>
      </c>
      <c r="M119" s="3">
        <v>165</v>
      </c>
      <c r="N119" s="5">
        <v>137</v>
      </c>
    </row>
    <row r="120" spans="2:14" x14ac:dyDescent="0.3">
      <c r="B120" s="9">
        <v>42455</v>
      </c>
      <c r="C120" s="24" t="s">
        <v>8</v>
      </c>
      <c r="D120" s="4" t="s">
        <v>11</v>
      </c>
      <c r="E120" s="3" t="s">
        <v>15</v>
      </c>
      <c r="F120" s="5" t="s">
        <v>13</v>
      </c>
      <c r="G120" s="25">
        <v>83</v>
      </c>
      <c r="H120" s="3">
        <v>136</v>
      </c>
      <c r="I120" s="3">
        <v>467</v>
      </c>
      <c r="J120" s="3">
        <v>257</v>
      </c>
      <c r="K120" s="3">
        <v>307</v>
      </c>
      <c r="L120" s="3">
        <v>165</v>
      </c>
      <c r="M120" s="3">
        <v>186</v>
      </c>
      <c r="N120" s="5">
        <v>140</v>
      </c>
    </row>
    <row r="121" spans="2:14" x14ac:dyDescent="0.3">
      <c r="B121" s="9">
        <v>42456</v>
      </c>
      <c r="C121" s="24" t="s">
        <v>9</v>
      </c>
      <c r="D121" s="4" t="s">
        <v>11</v>
      </c>
      <c r="E121" s="3" t="s">
        <v>15</v>
      </c>
      <c r="F121" s="5" t="s">
        <v>30</v>
      </c>
      <c r="G121" s="25">
        <v>63</v>
      </c>
      <c r="H121" s="3">
        <v>91</v>
      </c>
      <c r="I121" s="3">
        <v>727</v>
      </c>
      <c r="J121" s="3">
        <v>165</v>
      </c>
      <c r="K121" s="3">
        <v>351</v>
      </c>
      <c r="L121" s="3">
        <v>96</v>
      </c>
      <c r="M121" s="3">
        <v>71</v>
      </c>
      <c r="N121" s="5">
        <v>66</v>
      </c>
    </row>
    <row r="122" spans="2:14" x14ac:dyDescent="0.3">
      <c r="B122" s="9">
        <v>42457</v>
      </c>
      <c r="C122" s="24" t="s">
        <v>10</v>
      </c>
      <c r="D122" s="4" t="s">
        <v>11</v>
      </c>
      <c r="E122" s="3" t="s">
        <v>16</v>
      </c>
      <c r="F122" s="5" t="s">
        <v>13</v>
      </c>
      <c r="G122" s="25">
        <v>111</v>
      </c>
      <c r="H122" s="3">
        <v>194</v>
      </c>
      <c r="I122" s="3">
        <v>560</v>
      </c>
      <c r="J122" s="3">
        <v>366</v>
      </c>
      <c r="K122" s="3">
        <v>264</v>
      </c>
      <c r="L122" s="3">
        <v>277</v>
      </c>
      <c r="M122" s="3">
        <v>326</v>
      </c>
      <c r="N122" s="5">
        <v>296</v>
      </c>
    </row>
    <row r="123" spans="2:14" x14ac:dyDescent="0.3">
      <c r="B123" s="9">
        <v>42458</v>
      </c>
      <c r="C123" s="24" t="s">
        <v>4</v>
      </c>
      <c r="D123" s="4" t="s">
        <v>14</v>
      </c>
      <c r="E123" s="3" t="s">
        <v>15</v>
      </c>
      <c r="F123" s="5" t="s">
        <v>13</v>
      </c>
      <c r="G123" s="25">
        <v>100</v>
      </c>
      <c r="H123" s="3">
        <v>156</v>
      </c>
      <c r="I123" s="3">
        <v>211</v>
      </c>
      <c r="J123" s="3">
        <v>251</v>
      </c>
      <c r="K123" s="3">
        <v>244</v>
      </c>
      <c r="L123" s="3">
        <v>207</v>
      </c>
      <c r="M123" s="3">
        <v>241</v>
      </c>
      <c r="N123" s="5">
        <v>204</v>
      </c>
    </row>
    <row r="124" spans="2:14" x14ac:dyDescent="0.3">
      <c r="B124" s="9">
        <v>42459</v>
      </c>
      <c r="C124" s="24" t="s">
        <v>5</v>
      </c>
      <c r="D124" s="4" t="s">
        <v>14</v>
      </c>
      <c r="E124" s="3" t="s">
        <v>12</v>
      </c>
      <c r="F124" s="5" t="s">
        <v>13</v>
      </c>
      <c r="G124" s="25">
        <v>106</v>
      </c>
      <c r="H124" s="3">
        <v>160</v>
      </c>
      <c r="I124" s="3">
        <v>812</v>
      </c>
      <c r="J124" s="3">
        <v>237</v>
      </c>
      <c r="K124" s="3">
        <v>259</v>
      </c>
      <c r="L124" s="3">
        <v>227</v>
      </c>
      <c r="M124" s="3">
        <v>199</v>
      </c>
      <c r="N124" s="5">
        <v>196</v>
      </c>
    </row>
    <row r="125" spans="2:14" x14ac:dyDescent="0.3">
      <c r="B125" s="9">
        <v>42460</v>
      </c>
      <c r="C125" s="24" t="s">
        <v>6</v>
      </c>
      <c r="D125" s="4" t="s">
        <v>31</v>
      </c>
      <c r="E125" s="3" t="s">
        <v>15</v>
      </c>
      <c r="F125" s="5" t="s">
        <v>13</v>
      </c>
      <c r="G125" s="25">
        <v>51</v>
      </c>
      <c r="H125" s="3">
        <v>96</v>
      </c>
      <c r="I125" s="3">
        <v>79</v>
      </c>
      <c r="J125" s="3">
        <v>219</v>
      </c>
      <c r="K125" s="3">
        <v>265</v>
      </c>
      <c r="L125" s="3">
        <v>94</v>
      </c>
      <c r="M125" s="3">
        <v>174</v>
      </c>
      <c r="N125" s="5">
        <v>156</v>
      </c>
    </row>
    <row r="126" spans="2:14" x14ac:dyDescent="0.3">
      <c r="B126" s="9">
        <v>42461</v>
      </c>
      <c r="C126" s="24" t="s">
        <v>7</v>
      </c>
      <c r="D126" s="4" t="s">
        <v>31</v>
      </c>
      <c r="E126" s="3" t="s">
        <v>16</v>
      </c>
      <c r="F126" s="5" t="s">
        <v>13</v>
      </c>
      <c r="G126" s="25">
        <v>44</v>
      </c>
      <c r="H126" s="3">
        <v>99</v>
      </c>
      <c r="I126" s="3">
        <v>91</v>
      </c>
      <c r="J126" s="3">
        <v>294</v>
      </c>
      <c r="K126" s="3">
        <v>277</v>
      </c>
      <c r="L126" s="3">
        <v>102</v>
      </c>
      <c r="M126" s="3">
        <v>219</v>
      </c>
      <c r="N126" s="5">
        <v>179</v>
      </c>
    </row>
    <row r="127" spans="2:14" x14ac:dyDescent="0.3">
      <c r="B127" s="9">
        <v>42462</v>
      </c>
      <c r="C127" s="24" t="s">
        <v>8</v>
      </c>
      <c r="D127" s="4" t="s">
        <v>14</v>
      </c>
      <c r="E127" s="3" t="s">
        <v>16</v>
      </c>
      <c r="F127" s="5" t="s">
        <v>13</v>
      </c>
      <c r="G127" s="25">
        <v>88</v>
      </c>
      <c r="H127" s="3">
        <v>152</v>
      </c>
      <c r="I127" s="3">
        <v>382</v>
      </c>
      <c r="J127" s="3">
        <v>291</v>
      </c>
      <c r="K127" s="3">
        <v>315</v>
      </c>
      <c r="L127" s="3">
        <v>209</v>
      </c>
      <c r="M127" s="3">
        <v>236</v>
      </c>
      <c r="N127" s="5">
        <v>176</v>
      </c>
    </row>
    <row r="128" spans="2:14" ht="15" thickBot="1" x14ac:dyDescent="0.35">
      <c r="B128" s="10">
        <v>42463</v>
      </c>
      <c r="C128" s="26" t="s">
        <v>9</v>
      </c>
      <c r="D128" s="6" t="s">
        <v>11</v>
      </c>
      <c r="E128" s="7" t="s">
        <v>29</v>
      </c>
      <c r="F128" s="8" t="s">
        <v>13</v>
      </c>
      <c r="G128" s="27">
        <v>82</v>
      </c>
      <c r="H128" s="7">
        <v>124</v>
      </c>
      <c r="I128" s="7">
        <v>988</v>
      </c>
      <c r="J128" s="7">
        <v>310</v>
      </c>
      <c r="K128" s="7">
        <v>340</v>
      </c>
      <c r="L128" s="7">
        <v>162</v>
      </c>
      <c r="M128" s="7">
        <v>130</v>
      </c>
      <c r="N128" s="8">
        <v>156</v>
      </c>
    </row>
    <row r="129" spans="2:14" x14ac:dyDescent="0.3">
      <c r="B129" s="2">
        <v>42464</v>
      </c>
      <c r="C129" s="1" t="s">
        <v>10</v>
      </c>
      <c r="D129" s="1" t="s">
        <v>11</v>
      </c>
      <c r="E129" s="1" t="s">
        <v>70</v>
      </c>
      <c r="F129" s="1" t="s">
        <v>30</v>
      </c>
      <c r="G129" s="1">
        <v>200</v>
      </c>
      <c r="H129" s="1">
        <v>200</v>
      </c>
      <c r="I129" s="1">
        <v>200</v>
      </c>
      <c r="J129" s="1">
        <v>200</v>
      </c>
      <c r="K129" s="1">
        <v>200</v>
      </c>
      <c r="L129" s="1">
        <v>200</v>
      </c>
      <c r="M129" s="1">
        <v>200</v>
      </c>
      <c r="N129" s="1">
        <v>200</v>
      </c>
    </row>
    <row r="130" spans="2:14" x14ac:dyDescent="0.3">
      <c r="B130" s="2">
        <v>42465</v>
      </c>
      <c r="C130" s="1" t="s">
        <v>4</v>
      </c>
      <c r="D130" t="s">
        <v>14</v>
      </c>
      <c r="E130" t="s">
        <v>32</v>
      </c>
      <c r="F130" t="s">
        <v>13</v>
      </c>
      <c r="G130" s="1">
        <v>220</v>
      </c>
      <c r="H130">
        <v>220</v>
      </c>
      <c r="I130">
        <v>300</v>
      </c>
      <c r="J130">
        <v>440</v>
      </c>
      <c r="K130">
        <v>550</v>
      </c>
      <c r="L130">
        <v>159</v>
      </c>
      <c r="M130">
        <v>754</v>
      </c>
      <c r="N130">
        <v>456</v>
      </c>
    </row>
    <row r="131" spans="2:14" x14ac:dyDescent="0.3">
      <c r="B131" s="2">
        <v>42466</v>
      </c>
      <c r="C131" s="1" t="s">
        <v>5</v>
      </c>
      <c r="D131" t="s">
        <v>11</v>
      </c>
      <c r="E131" t="s">
        <v>70</v>
      </c>
      <c r="F131" t="s">
        <v>30</v>
      </c>
      <c r="G131" s="1">
        <v>220</v>
      </c>
      <c r="H131">
        <v>220</v>
      </c>
      <c r="I131">
        <v>220</v>
      </c>
      <c r="J131">
        <v>220</v>
      </c>
      <c r="K131">
        <v>220</v>
      </c>
      <c r="L131">
        <v>441</v>
      </c>
      <c r="M131">
        <v>515</v>
      </c>
      <c r="N131">
        <v>421</v>
      </c>
    </row>
    <row r="132" spans="2:14" x14ac:dyDescent="0.3">
      <c r="B132" s="2">
        <v>42467</v>
      </c>
      <c r="C132" s="1" t="s">
        <v>6</v>
      </c>
      <c r="D132" t="s">
        <v>11</v>
      </c>
      <c r="E132" t="s">
        <v>70</v>
      </c>
      <c r="F132" t="s">
        <v>30</v>
      </c>
      <c r="G132" s="1">
        <v>220</v>
      </c>
      <c r="H132">
        <v>220</v>
      </c>
      <c r="I132">
        <v>220</v>
      </c>
      <c r="J132">
        <v>220</v>
      </c>
      <c r="K132">
        <v>445</v>
      </c>
      <c r="L132">
        <v>456</v>
      </c>
      <c r="M132">
        <v>451</v>
      </c>
      <c r="N132">
        <v>541</v>
      </c>
    </row>
    <row r="133" spans="2:14" x14ac:dyDescent="0.3">
      <c r="B133" s="2">
        <v>42468</v>
      </c>
      <c r="C133" s="1" t="s">
        <v>7</v>
      </c>
      <c r="D133" t="s">
        <v>26</v>
      </c>
      <c r="E133" t="s">
        <v>70</v>
      </c>
      <c r="F133" t="s">
        <v>30</v>
      </c>
      <c r="G133" s="1">
        <v>200</v>
      </c>
      <c r="H133">
        <v>200</v>
      </c>
      <c r="I133">
        <v>200</v>
      </c>
      <c r="J133">
        <v>200</v>
      </c>
      <c r="K133">
        <v>200</v>
      </c>
      <c r="L133">
        <v>200</v>
      </c>
      <c r="M133">
        <v>200</v>
      </c>
      <c r="N133">
        <v>200</v>
      </c>
    </row>
    <row r="134" spans="2:14" x14ac:dyDescent="0.3">
      <c r="B134" s="2">
        <v>42469</v>
      </c>
      <c r="C134" s="1" t="s">
        <v>8</v>
      </c>
      <c r="D134" t="s">
        <v>11</v>
      </c>
      <c r="E134" t="s">
        <v>70</v>
      </c>
      <c r="F134" t="s">
        <v>30</v>
      </c>
      <c r="G134" s="1">
        <v>10</v>
      </c>
      <c r="H134">
        <v>8</v>
      </c>
      <c r="I134">
        <v>8</v>
      </c>
      <c r="J134">
        <v>8</v>
      </c>
      <c r="K134">
        <v>8</v>
      </c>
      <c r="L134">
        <v>8</v>
      </c>
      <c r="M134">
        <v>8</v>
      </c>
      <c r="N134">
        <v>8</v>
      </c>
    </row>
    <row r="135" spans="2:14" x14ac:dyDescent="0.3">
      <c r="B135" s="2">
        <v>42470</v>
      </c>
      <c r="C135" s="1" t="s">
        <v>9</v>
      </c>
      <c r="D135" t="s">
        <v>26</v>
      </c>
      <c r="E135" t="s">
        <v>70</v>
      </c>
      <c r="F135" t="s">
        <v>30</v>
      </c>
      <c r="G135" s="1">
        <v>155</v>
      </c>
      <c r="H135">
        <v>151</v>
      </c>
      <c r="I135">
        <v>151</v>
      </c>
      <c r="J135">
        <v>151</v>
      </c>
      <c r="K135">
        <v>151</v>
      </c>
      <c r="L135">
        <v>151</v>
      </c>
      <c r="M135">
        <v>151</v>
      </c>
      <c r="N135">
        <v>151</v>
      </c>
    </row>
    <row r="136" spans="2:14" x14ac:dyDescent="0.3">
      <c r="B136" s="2">
        <v>42471</v>
      </c>
      <c r="C136" s="1" t="s">
        <v>10</v>
      </c>
      <c r="D136" t="s">
        <v>11</v>
      </c>
      <c r="E136" t="s">
        <v>70</v>
      </c>
      <c r="F136" t="s">
        <v>30</v>
      </c>
      <c r="G136" s="1">
        <v>151</v>
      </c>
      <c r="H136">
        <v>151</v>
      </c>
      <c r="I136">
        <v>151</v>
      </c>
      <c r="J136">
        <v>151</v>
      </c>
      <c r="K136">
        <v>151</v>
      </c>
      <c r="L136">
        <v>151</v>
      </c>
      <c r="M136">
        <v>151</v>
      </c>
      <c r="N136">
        <v>151</v>
      </c>
    </row>
    <row r="137" spans="2:14" x14ac:dyDescent="0.3">
      <c r="B137" s="2">
        <v>42472</v>
      </c>
      <c r="C137" s="1" t="s">
        <v>4</v>
      </c>
      <c r="D137" t="s">
        <v>26</v>
      </c>
      <c r="E137" t="s">
        <v>70</v>
      </c>
      <c r="F137" t="s">
        <v>30</v>
      </c>
      <c r="G137" s="1">
        <v>158</v>
      </c>
      <c r="H137">
        <v>156</v>
      </c>
      <c r="I137">
        <v>155</v>
      </c>
      <c r="J137">
        <v>156</v>
      </c>
      <c r="K137">
        <v>155</v>
      </c>
      <c r="L137">
        <v>152</v>
      </c>
      <c r="M137">
        <v>183</v>
      </c>
      <c r="N137">
        <v>155</v>
      </c>
    </row>
    <row r="138" spans="2:14" x14ac:dyDescent="0.3">
      <c r="B138" s="2">
        <v>42473</v>
      </c>
      <c r="C138" s="1" t="s">
        <v>5</v>
      </c>
      <c r="D138" t="s">
        <v>11</v>
      </c>
      <c r="E138" t="s">
        <v>32</v>
      </c>
      <c r="F138" t="s">
        <v>30</v>
      </c>
      <c r="G138" s="1">
        <v>156</v>
      </c>
      <c r="H138">
        <v>156</v>
      </c>
      <c r="I138">
        <v>156</v>
      </c>
      <c r="J138">
        <v>155</v>
      </c>
      <c r="K138">
        <v>154</v>
      </c>
      <c r="L138">
        <v>154</v>
      </c>
      <c r="M138">
        <v>154</v>
      </c>
      <c r="N138">
        <v>154</v>
      </c>
    </row>
  </sheetData>
  <mergeCells count="2">
    <mergeCell ref="G2:N2"/>
    <mergeCell ref="D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eviseAllModels">
                <anchor moveWithCells="1">
                  <from>
                    <xdr:col>16</xdr:col>
                    <xdr:colOff>7620</xdr:colOff>
                    <xdr:row>2</xdr:row>
                    <xdr:rowOff>182880</xdr:rowOff>
                  </from>
                  <to>
                    <xdr:col>19</xdr:col>
                    <xdr:colOff>0</xdr:colOff>
                    <xdr:row>5</xdr:row>
                    <xdr:rowOff>15240</xdr:rowOff>
                  </to>
                </anchor>
              </controlPr>
            </control>
          </mc:Choice>
        </mc:AlternateContent>
        <mc:AlternateContent xmlns:mc="http://schemas.openxmlformats.org/markup-compatibility/2006">
          <mc:Choice Requires="x14">
            <control shapeId="2051" r:id="rId5" name="Button 3">
              <controlPr defaultSize="0" print="0" autoFill="0" autoPict="0" macro="[0]!AddOrderSummary">
                <anchor moveWithCells="1">
                  <from>
                    <xdr:col>16</xdr:col>
                    <xdr:colOff>0</xdr:colOff>
                    <xdr:row>6</xdr:row>
                    <xdr:rowOff>7620</xdr:rowOff>
                  </from>
                  <to>
                    <xdr:col>19</xdr:col>
                    <xdr:colOff>0</xdr:colOff>
                    <xdr:row>8</xdr:row>
                    <xdr:rowOff>7620</xdr:rowOff>
                  </to>
                </anchor>
              </controlPr>
            </control>
          </mc:Choice>
        </mc:AlternateContent>
        <mc:AlternateContent xmlns:mc="http://schemas.openxmlformats.org/markup-compatibility/2006">
          <mc:Choice Requires="x14">
            <control shapeId="2052" r:id="rId6" name="Button 4">
              <controlPr defaultSize="0" print="0" autoFill="0" autoPict="0" macro="[0]!ComputeForecasting">
                <anchor moveWithCells="1" sizeWithCells="1">
                  <from>
                    <xdr:col>16</xdr:col>
                    <xdr:colOff>0</xdr:colOff>
                    <xdr:row>8</xdr:row>
                    <xdr:rowOff>175260</xdr:rowOff>
                  </from>
                  <to>
                    <xdr:col>19</xdr:col>
                    <xdr:colOff>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142"/>
  <sheetViews>
    <sheetView zoomScale="90" zoomScaleNormal="90" workbookViewId="0">
      <selection activeCell="R20" sqref="R20"/>
    </sheetView>
  </sheetViews>
  <sheetFormatPr defaultRowHeight="14.4" x14ac:dyDescent="0.3"/>
  <cols>
    <col min="2" max="2" width="9.44140625" bestFit="1" customWidth="1"/>
    <col min="7" max="7" width="10.5546875" bestFit="1" customWidth="1"/>
    <col min="9" max="9" width="16.33203125" customWidth="1"/>
    <col min="18" max="18" width="12.88671875" customWidth="1"/>
    <col min="19" max="19" width="14.21875" bestFit="1" customWidth="1"/>
    <col min="22" max="22" width="13.33203125" bestFit="1" customWidth="1"/>
    <col min="23" max="23" width="13.109375" bestFit="1" customWidth="1"/>
  </cols>
  <sheetData>
    <row r="1" spans="2:23" ht="15" thickBot="1" x14ac:dyDescent="0.35"/>
    <row r="2" spans="2:23" ht="15" thickBot="1" x14ac:dyDescent="0.35">
      <c r="B2" s="2"/>
      <c r="C2" s="1"/>
      <c r="D2" s="61" t="s">
        <v>1</v>
      </c>
      <c r="E2" s="59"/>
      <c r="F2" s="60"/>
      <c r="G2" s="58" t="s">
        <v>27</v>
      </c>
      <c r="H2" s="59"/>
      <c r="I2" s="59"/>
      <c r="R2" t="s">
        <v>57</v>
      </c>
    </row>
    <row r="3" spans="2:23" ht="15" thickBot="1" x14ac:dyDescent="0.35">
      <c r="B3" s="11" t="s">
        <v>0</v>
      </c>
      <c r="C3" s="12" t="s">
        <v>25</v>
      </c>
      <c r="D3" s="13" t="s">
        <v>2</v>
      </c>
      <c r="E3" s="14" t="s">
        <v>3</v>
      </c>
      <c r="F3" s="15" t="s">
        <v>28</v>
      </c>
      <c r="G3" s="16" t="s">
        <v>21</v>
      </c>
      <c r="H3" s="14" t="s">
        <v>11</v>
      </c>
      <c r="I3" s="46" t="s">
        <v>31</v>
      </c>
      <c r="J3" s="46" t="s">
        <v>33</v>
      </c>
      <c r="K3" s="46" t="s">
        <v>34</v>
      </c>
      <c r="L3" s="46" t="s">
        <v>58</v>
      </c>
      <c r="M3" s="46" t="s">
        <v>63</v>
      </c>
      <c r="N3" s="47" t="s">
        <v>66</v>
      </c>
    </row>
    <row r="4" spans="2:23" x14ac:dyDescent="0.3">
      <c r="B4" s="17">
        <v>42339</v>
      </c>
      <c r="C4" s="18" t="s">
        <v>4</v>
      </c>
      <c r="D4" s="19" t="s">
        <v>11</v>
      </c>
      <c r="E4" s="20" t="s">
        <v>15</v>
      </c>
      <c r="F4" s="21" t="s">
        <v>13</v>
      </c>
      <c r="G4" s="22">
        <v>62</v>
      </c>
      <c r="H4" s="20">
        <f t="shared" ref="H4:H35" si="0">IF(D4=H$3,1,0)</f>
        <v>1</v>
      </c>
      <c r="I4" s="3">
        <f t="shared" ref="I4:I35" si="1">IF(D4=I$3,1,0)</f>
        <v>0</v>
      </c>
      <c r="J4" s="35">
        <f t="shared" ref="J4:J35" si="2">IF(F4="Yes",1,0)</f>
        <v>0</v>
      </c>
      <c r="K4" s="3">
        <v>1</v>
      </c>
      <c r="L4" s="35">
        <f t="shared" ref="L4:L35" si="3">$S$20+$S$21*H4+$S$22*I4+$S$23*J4+$S$24*K4</f>
        <v>66.418721813511596</v>
      </c>
      <c r="M4" s="35">
        <f>G4/L4</f>
        <v>0.93347174271256916</v>
      </c>
      <c r="N4" s="48">
        <f>VLOOKUP(C4,$R$32:$S$38,2,FALSE)*L4</f>
        <v>72.357776085459605</v>
      </c>
      <c r="R4" t="s">
        <v>35</v>
      </c>
    </row>
    <row r="5" spans="2:23" ht="15" thickBot="1" x14ac:dyDescent="0.35">
      <c r="B5" s="9">
        <v>42340</v>
      </c>
      <c r="C5" s="24" t="s">
        <v>5</v>
      </c>
      <c r="D5" s="4" t="s">
        <v>11</v>
      </c>
      <c r="E5" s="3" t="s">
        <v>29</v>
      </c>
      <c r="F5" s="5" t="s">
        <v>13</v>
      </c>
      <c r="G5" s="25">
        <v>80</v>
      </c>
      <c r="H5" s="20">
        <f t="shared" si="0"/>
        <v>1</v>
      </c>
      <c r="I5" s="3">
        <f t="shared" si="1"/>
        <v>0</v>
      </c>
      <c r="J5" s="35">
        <f t="shared" si="2"/>
        <v>0</v>
      </c>
      <c r="K5" s="3">
        <v>2</v>
      </c>
      <c r="L5" s="35">
        <f t="shared" si="3"/>
        <v>66.83644548341239</v>
      </c>
      <c r="M5" s="35">
        <f t="shared" ref="M5:M68" si="4">G5/L5</f>
        <v>1.1969517442374247</v>
      </c>
      <c r="N5" s="48">
        <f t="shared" ref="N5:N68" si="5">VLOOKUP(C5,$R$32:$S$38,2,FALSE)*L5</f>
        <v>74.490457338088433</v>
      </c>
    </row>
    <row r="6" spans="2:23" x14ac:dyDescent="0.3">
      <c r="B6" s="9">
        <v>42341</v>
      </c>
      <c r="C6" s="24" t="s">
        <v>6</v>
      </c>
      <c r="D6" s="4" t="s">
        <v>14</v>
      </c>
      <c r="E6" s="3" t="s">
        <v>15</v>
      </c>
      <c r="F6" s="5" t="s">
        <v>13</v>
      </c>
      <c r="G6" s="25">
        <v>69</v>
      </c>
      <c r="H6" s="20">
        <f t="shared" si="0"/>
        <v>0</v>
      </c>
      <c r="I6" s="3">
        <f t="shared" si="1"/>
        <v>0</v>
      </c>
      <c r="J6" s="35">
        <f t="shared" si="2"/>
        <v>0</v>
      </c>
      <c r="K6" s="3">
        <v>3</v>
      </c>
      <c r="L6" s="35">
        <f t="shared" si="3"/>
        <v>55.583606731903814</v>
      </c>
      <c r="M6" s="35">
        <f t="shared" si="4"/>
        <v>1.2413732043839367</v>
      </c>
      <c r="N6" s="48">
        <f t="shared" si="5"/>
        <v>60.679562119235015</v>
      </c>
      <c r="R6" s="32" t="s">
        <v>36</v>
      </c>
      <c r="S6" s="32"/>
    </row>
    <row r="7" spans="2:23" x14ac:dyDescent="0.3">
      <c r="B7" s="9">
        <v>42342</v>
      </c>
      <c r="C7" s="24" t="s">
        <v>7</v>
      </c>
      <c r="D7" s="4" t="s">
        <v>11</v>
      </c>
      <c r="E7" s="3" t="s">
        <v>15</v>
      </c>
      <c r="F7" s="5" t="s">
        <v>13</v>
      </c>
      <c r="G7" s="25">
        <v>62</v>
      </c>
      <c r="H7" s="20">
        <f t="shared" si="0"/>
        <v>1</v>
      </c>
      <c r="I7" s="3">
        <f t="shared" si="1"/>
        <v>0</v>
      </c>
      <c r="J7" s="35">
        <f t="shared" si="2"/>
        <v>0</v>
      </c>
      <c r="K7" s="3">
        <v>4</v>
      </c>
      <c r="L7" s="35">
        <f t="shared" si="3"/>
        <v>67.671892823213952</v>
      </c>
      <c r="M7" s="35">
        <f t="shared" si="4"/>
        <v>0.91618539711854663</v>
      </c>
      <c r="N7" s="48">
        <f t="shared" si="5"/>
        <v>71.583124532857781</v>
      </c>
      <c r="R7" s="29" t="s">
        <v>37</v>
      </c>
      <c r="S7" s="29">
        <v>0.53042619874298447</v>
      </c>
    </row>
    <row r="8" spans="2:23" x14ac:dyDescent="0.3">
      <c r="B8" s="9">
        <v>42343</v>
      </c>
      <c r="C8" s="24" t="s">
        <v>8</v>
      </c>
      <c r="D8" s="4" t="s">
        <v>11</v>
      </c>
      <c r="E8" s="3" t="s">
        <v>15</v>
      </c>
      <c r="F8" s="5" t="s">
        <v>13</v>
      </c>
      <c r="G8" s="25">
        <v>61</v>
      </c>
      <c r="H8" s="20">
        <f t="shared" si="0"/>
        <v>1</v>
      </c>
      <c r="I8" s="3">
        <f t="shared" si="1"/>
        <v>0</v>
      </c>
      <c r="J8" s="35">
        <f t="shared" si="2"/>
        <v>0</v>
      </c>
      <c r="K8" s="3">
        <v>5</v>
      </c>
      <c r="L8" s="35">
        <f t="shared" si="3"/>
        <v>68.089616493114733</v>
      </c>
      <c r="M8" s="35">
        <f t="shared" si="4"/>
        <v>0.89587815502189472</v>
      </c>
      <c r="N8" s="48">
        <f t="shared" si="5"/>
        <v>60.576215210012386</v>
      </c>
      <c r="R8" s="29" t="s">
        <v>38</v>
      </c>
      <c r="S8" s="29">
        <v>0.28135195231293209</v>
      </c>
    </row>
    <row r="9" spans="2:23" x14ac:dyDescent="0.3">
      <c r="B9" s="9">
        <v>42344</v>
      </c>
      <c r="C9" s="24" t="s">
        <v>9</v>
      </c>
      <c r="D9" s="4" t="s">
        <v>14</v>
      </c>
      <c r="E9" s="3" t="s">
        <v>16</v>
      </c>
      <c r="F9" s="5" t="s">
        <v>13</v>
      </c>
      <c r="G9" s="25">
        <v>56</v>
      </c>
      <c r="H9" s="20">
        <f t="shared" si="0"/>
        <v>0</v>
      </c>
      <c r="I9" s="3">
        <f t="shared" si="1"/>
        <v>0</v>
      </c>
      <c r="J9" s="35">
        <f t="shared" si="2"/>
        <v>0</v>
      </c>
      <c r="K9" s="3">
        <v>6</v>
      </c>
      <c r="L9" s="35">
        <f t="shared" si="3"/>
        <v>56.83677774160617</v>
      </c>
      <c r="M9" s="35">
        <f t="shared" si="4"/>
        <v>0.98527753023912856</v>
      </c>
      <c r="N9" s="48">
        <f t="shared" si="5"/>
        <v>44.740228770325139</v>
      </c>
      <c r="R9" s="29" t="s">
        <v>39</v>
      </c>
      <c r="S9" s="29">
        <v>0.25739701739002985</v>
      </c>
    </row>
    <row r="10" spans="2:23" x14ac:dyDescent="0.3">
      <c r="B10" s="9">
        <v>42345</v>
      </c>
      <c r="C10" s="24" t="s">
        <v>10</v>
      </c>
      <c r="D10" s="4" t="s">
        <v>11</v>
      </c>
      <c r="E10" s="3" t="s">
        <v>29</v>
      </c>
      <c r="F10" s="5" t="s">
        <v>13</v>
      </c>
      <c r="G10" s="25">
        <v>73</v>
      </c>
      <c r="H10" s="20">
        <f t="shared" si="0"/>
        <v>1</v>
      </c>
      <c r="I10" s="3">
        <f t="shared" si="1"/>
        <v>0</v>
      </c>
      <c r="J10" s="35">
        <f t="shared" si="2"/>
        <v>0</v>
      </c>
      <c r="K10" s="3">
        <v>7</v>
      </c>
      <c r="L10" s="35">
        <f t="shared" si="3"/>
        <v>68.925063832916308</v>
      </c>
      <c r="M10" s="35">
        <f t="shared" si="4"/>
        <v>1.0591212534378189</v>
      </c>
      <c r="N10" s="48">
        <f t="shared" si="5"/>
        <v>67.805221636586623</v>
      </c>
      <c r="R10" s="29" t="s">
        <v>40</v>
      </c>
      <c r="S10" s="29">
        <v>27.592151610265709</v>
      </c>
    </row>
    <row r="11" spans="2:23" ht="15" thickBot="1" x14ac:dyDescent="0.35">
      <c r="B11" s="9">
        <v>42346</v>
      </c>
      <c r="C11" s="24" t="s">
        <v>4</v>
      </c>
      <c r="D11" s="4" t="s">
        <v>11</v>
      </c>
      <c r="E11" s="3" t="s">
        <v>15</v>
      </c>
      <c r="F11" s="5" t="s">
        <v>13</v>
      </c>
      <c r="G11" s="25">
        <v>68</v>
      </c>
      <c r="H11" s="20">
        <f t="shared" si="0"/>
        <v>1</v>
      </c>
      <c r="I11" s="3">
        <f t="shared" si="1"/>
        <v>0</v>
      </c>
      <c r="J11" s="35">
        <f t="shared" si="2"/>
        <v>0</v>
      </c>
      <c r="K11" s="3">
        <v>8</v>
      </c>
      <c r="L11" s="35">
        <f t="shared" si="3"/>
        <v>69.342787502817089</v>
      </c>
      <c r="M11" s="35">
        <f t="shared" si="4"/>
        <v>0.98063551306237096</v>
      </c>
      <c r="N11" s="48">
        <f t="shared" si="5"/>
        <v>75.543306981401969</v>
      </c>
      <c r="R11" s="30" t="s">
        <v>41</v>
      </c>
      <c r="S11" s="30">
        <v>125</v>
      </c>
    </row>
    <row r="12" spans="2:23" x14ac:dyDescent="0.3">
      <c r="B12" s="9">
        <v>42347</v>
      </c>
      <c r="C12" s="24" t="s">
        <v>5</v>
      </c>
      <c r="D12" s="4" t="s">
        <v>11</v>
      </c>
      <c r="E12" s="3" t="s">
        <v>16</v>
      </c>
      <c r="F12" s="5" t="s">
        <v>13</v>
      </c>
      <c r="G12" s="25">
        <v>84</v>
      </c>
      <c r="H12" s="20">
        <f t="shared" si="0"/>
        <v>1</v>
      </c>
      <c r="I12" s="3">
        <f t="shared" si="1"/>
        <v>0</v>
      </c>
      <c r="J12" s="35">
        <f t="shared" si="2"/>
        <v>0</v>
      </c>
      <c r="K12" s="3">
        <v>9</v>
      </c>
      <c r="L12" s="35">
        <f t="shared" si="3"/>
        <v>69.760511172717884</v>
      </c>
      <c r="M12" s="35">
        <f t="shared" si="4"/>
        <v>1.2041196170714261</v>
      </c>
      <c r="N12" s="48">
        <f t="shared" si="5"/>
        <v>77.749382747834176</v>
      </c>
    </row>
    <row r="13" spans="2:23" ht="15" thickBot="1" x14ac:dyDescent="0.35">
      <c r="B13" s="9">
        <v>42348</v>
      </c>
      <c r="C13" s="24" t="s">
        <v>6</v>
      </c>
      <c r="D13" s="4" t="s">
        <v>26</v>
      </c>
      <c r="E13" s="3" t="s">
        <v>16</v>
      </c>
      <c r="F13" s="5" t="s">
        <v>13</v>
      </c>
      <c r="G13" s="25">
        <v>61</v>
      </c>
      <c r="H13" s="20">
        <f t="shared" si="0"/>
        <v>0</v>
      </c>
      <c r="I13" s="3">
        <f t="shared" si="1"/>
        <v>0</v>
      </c>
      <c r="J13" s="35">
        <f t="shared" si="2"/>
        <v>0</v>
      </c>
      <c r="K13" s="3">
        <v>10</v>
      </c>
      <c r="L13" s="35">
        <f t="shared" si="3"/>
        <v>58.507672421209307</v>
      </c>
      <c r="M13" s="35">
        <f t="shared" si="4"/>
        <v>1.0425983033617863</v>
      </c>
      <c r="N13" s="48">
        <f t="shared" si="5"/>
        <v>63.871708798214286</v>
      </c>
      <c r="R13" t="s">
        <v>42</v>
      </c>
    </row>
    <row r="14" spans="2:23" x14ac:dyDescent="0.3">
      <c r="B14" s="9">
        <v>42349</v>
      </c>
      <c r="C14" s="24" t="s">
        <v>7</v>
      </c>
      <c r="D14" s="4" t="s">
        <v>14</v>
      </c>
      <c r="E14" s="3" t="s">
        <v>16</v>
      </c>
      <c r="F14" s="5" t="s">
        <v>13</v>
      </c>
      <c r="G14" s="25">
        <v>76</v>
      </c>
      <c r="H14" s="20">
        <f t="shared" si="0"/>
        <v>0</v>
      </c>
      <c r="I14" s="3">
        <f t="shared" si="1"/>
        <v>0</v>
      </c>
      <c r="J14" s="35">
        <f t="shared" si="2"/>
        <v>0</v>
      </c>
      <c r="K14" s="3">
        <v>11</v>
      </c>
      <c r="L14" s="35">
        <f t="shared" si="3"/>
        <v>58.925396091110088</v>
      </c>
      <c r="M14" s="35">
        <f t="shared" si="4"/>
        <v>1.2897664681369179</v>
      </c>
      <c r="N14" s="48">
        <f t="shared" si="5"/>
        <v>62.331106616999392</v>
      </c>
      <c r="R14" s="31"/>
      <c r="S14" s="31" t="s">
        <v>47</v>
      </c>
      <c r="T14" s="31" t="s">
        <v>48</v>
      </c>
      <c r="U14" s="31" t="s">
        <v>49</v>
      </c>
      <c r="V14" s="31" t="s">
        <v>50</v>
      </c>
      <c r="W14" s="31" t="s">
        <v>51</v>
      </c>
    </row>
    <row r="15" spans="2:23" x14ac:dyDescent="0.3">
      <c r="B15" s="9">
        <v>42350</v>
      </c>
      <c r="C15" s="24" t="s">
        <v>8</v>
      </c>
      <c r="D15" s="4" t="s">
        <v>14</v>
      </c>
      <c r="E15" s="3" t="s">
        <v>16</v>
      </c>
      <c r="F15" s="5" t="s">
        <v>13</v>
      </c>
      <c r="G15" s="25">
        <v>63</v>
      </c>
      <c r="H15" s="20">
        <f t="shared" si="0"/>
        <v>0</v>
      </c>
      <c r="I15" s="3">
        <f t="shared" si="1"/>
        <v>0</v>
      </c>
      <c r="J15" s="35">
        <f t="shared" si="2"/>
        <v>0</v>
      </c>
      <c r="K15" s="3">
        <v>12</v>
      </c>
      <c r="L15" s="35">
        <f t="shared" si="3"/>
        <v>59.343119761010875</v>
      </c>
      <c r="M15" s="35">
        <f t="shared" si="4"/>
        <v>1.0616226489897442</v>
      </c>
      <c r="N15" s="48">
        <f t="shared" si="5"/>
        <v>52.794857410307785</v>
      </c>
      <c r="R15" s="29" t="s">
        <v>43</v>
      </c>
      <c r="S15" s="29">
        <v>4</v>
      </c>
      <c r="T15" s="29">
        <v>35767.292341933397</v>
      </c>
      <c r="U15" s="29">
        <v>8941.8230854833491</v>
      </c>
      <c r="V15" s="29">
        <v>11.745051832469967</v>
      </c>
      <c r="W15" s="29">
        <v>4.3991589453189665E-8</v>
      </c>
    </row>
    <row r="16" spans="2:23" x14ac:dyDescent="0.3">
      <c r="B16" s="9">
        <v>42351</v>
      </c>
      <c r="C16" s="24" t="s">
        <v>9</v>
      </c>
      <c r="D16" s="4" t="s">
        <v>26</v>
      </c>
      <c r="E16" s="3" t="s">
        <v>15</v>
      </c>
      <c r="F16" s="5" t="s">
        <v>13</v>
      </c>
      <c r="G16" s="25">
        <v>48</v>
      </c>
      <c r="H16" s="20">
        <f t="shared" si="0"/>
        <v>0</v>
      </c>
      <c r="I16" s="3">
        <f t="shared" si="1"/>
        <v>0</v>
      </c>
      <c r="J16" s="35">
        <f t="shared" si="2"/>
        <v>0</v>
      </c>
      <c r="K16" s="3">
        <v>13</v>
      </c>
      <c r="L16" s="35">
        <f t="shared" si="3"/>
        <v>59.760843430911663</v>
      </c>
      <c r="M16" s="35">
        <f t="shared" si="4"/>
        <v>0.8032015153114741</v>
      </c>
      <c r="N16" s="48">
        <f t="shared" si="5"/>
        <v>47.04196671320679</v>
      </c>
      <c r="R16" s="29" t="s">
        <v>44</v>
      </c>
      <c r="S16" s="29">
        <v>120</v>
      </c>
      <c r="T16" s="29">
        <v>91359.219658066635</v>
      </c>
      <c r="U16" s="29">
        <v>761.32683048388867</v>
      </c>
      <c r="V16" s="29"/>
      <c r="W16" s="29"/>
    </row>
    <row r="17" spans="1:27" ht="15" thickBot="1" x14ac:dyDescent="0.35">
      <c r="B17" s="9">
        <v>42352</v>
      </c>
      <c r="C17" s="24" t="s">
        <v>10</v>
      </c>
      <c r="D17" s="4" t="s">
        <v>14</v>
      </c>
      <c r="E17" s="3" t="s">
        <v>29</v>
      </c>
      <c r="F17" s="5" t="s">
        <v>13</v>
      </c>
      <c r="G17" s="25">
        <v>78</v>
      </c>
      <c r="H17" s="20">
        <f t="shared" si="0"/>
        <v>0</v>
      </c>
      <c r="I17" s="3">
        <f t="shared" si="1"/>
        <v>0</v>
      </c>
      <c r="J17" s="35">
        <f t="shared" si="2"/>
        <v>0</v>
      </c>
      <c r="K17" s="3">
        <v>14</v>
      </c>
      <c r="L17" s="35">
        <f t="shared" si="3"/>
        <v>60.178567100812444</v>
      </c>
      <c r="M17" s="35">
        <f t="shared" si="4"/>
        <v>1.2961425264468778</v>
      </c>
      <c r="N17" s="48">
        <f t="shared" si="5"/>
        <v>59.20083135409611</v>
      </c>
      <c r="R17" s="30" t="s">
        <v>45</v>
      </c>
      <c r="S17" s="30">
        <v>124</v>
      </c>
      <c r="T17" s="30">
        <v>127126.51200000003</v>
      </c>
      <c r="U17" s="30"/>
      <c r="V17" s="30"/>
      <c r="W17" s="30"/>
    </row>
    <row r="18" spans="1:27" ht="15" thickBot="1" x14ac:dyDescent="0.35">
      <c r="B18" s="9">
        <v>42353</v>
      </c>
      <c r="C18" s="24" t="s">
        <v>4</v>
      </c>
      <c r="D18" s="4" t="s">
        <v>26</v>
      </c>
      <c r="E18" s="3" t="s">
        <v>15</v>
      </c>
      <c r="F18" s="5" t="s">
        <v>13</v>
      </c>
      <c r="G18" s="25">
        <v>53</v>
      </c>
      <c r="H18" s="20">
        <f t="shared" si="0"/>
        <v>0</v>
      </c>
      <c r="I18" s="3">
        <f t="shared" si="1"/>
        <v>0</v>
      </c>
      <c r="J18" s="35">
        <f t="shared" si="2"/>
        <v>0</v>
      </c>
      <c r="K18" s="3">
        <v>15</v>
      </c>
      <c r="L18" s="35">
        <f t="shared" si="3"/>
        <v>60.596290770713232</v>
      </c>
      <c r="M18" s="35">
        <f t="shared" si="4"/>
        <v>0.87464099412526097</v>
      </c>
      <c r="N18" s="48">
        <f t="shared" si="5"/>
        <v>66.014712711690677</v>
      </c>
    </row>
    <row r="19" spans="1:27" x14ac:dyDescent="0.3">
      <c r="B19" s="9">
        <v>42354</v>
      </c>
      <c r="C19" s="24" t="s">
        <v>5</v>
      </c>
      <c r="D19" s="4" t="s">
        <v>11</v>
      </c>
      <c r="E19" s="3" t="s">
        <v>15</v>
      </c>
      <c r="F19" s="5" t="s">
        <v>13</v>
      </c>
      <c r="G19" s="25">
        <v>71</v>
      </c>
      <c r="H19" s="20">
        <f t="shared" si="0"/>
        <v>1</v>
      </c>
      <c r="I19" s="3">
        <f t="shared" si="1"/>
        <v>0</v>
      </c>
      <c r="J19" s="35">
        <f t="shared" si="2"/>
        <v>0</v>
      </c>
      <c r="K19" s="3">
        <v>16</v>
      </c>
      <c r="L19" s="35">
        <f t="shared" si="3"/>
        <v>72.684576862023377</v>
      </c>
      <c r="M19" s="35">
        <f t="shared" si="4"/>
        <v>0.97682346193992164</v>
      </c>
      <c r="N19" s="48">
        <f t="shared" si="5"/>
        <v>81.008308157579918</v>
      </c>
      <c r="R19" s="31"/>
      <c r="S19" s="31" t="s">
        <v>52</v>
      </c>
      <c r="T19" s="31" t="s">
        <v>40</v>
      </c>
      <c r="U19" s="31" t="s">
        <v>53</v>
      </c>
      <c r="V19" s="31" t="s">
        <v>54</v>
      </c>
      <c r="W19" s="31" t="s">
        <v>55</v>
      </c>
      <c r="X19" s="31" t="s">
        <v>56</v>
      </c>
      <c r="Y19" s="31" t="s">
        <v>86</v>
      </c>
      <c r="Z19" s="31" t="s">
        <v>87</v>
      </c>
    </row>
    <row r="20" spans="1:27" x14ac:dyDescent="0.3">
      <c r="B20" s="9">
        <v>42355</v>
      </c>
      <c r="C20" s="24" t="s">
        <v>6</v>
      </c>
      <c r="D20" s="4" t="s">
        <v>14</v>
      </c>
      <c r="E20" s="3" t="s">
        <v>29</v>
      </c>
      <c r="F20" s="5" t="s">
        <v>13</v>
      </c>
      <c r="G20" s="25">
        <v>78</v>
      </c>
      <c r="H20" s="20">
        <f t="shared" si="0"/>
        <v>0</v>
      </c>
      <c r="I20" s="3">
        <f t="shared" si="1"/>
        <v>0</v>
      </c>
      <c r="J20" s="35">
        <f t="shared" si="2"/>
        <v>0</v>
      </c>
      <c r="K20" s="3">
        <v>17</v>
      </c>
      <c r="L20" s="35">
        <f t="shared" si="3"/>
        <v>61.4317381105148</v>
      </c>
      <c r="M20" s="35">
        <f t="shared" si="4"/>
        <v>1.2697019879150926</v>
      </c>
      <c r="N20" s="48">
        <f t="shared" si="5"/>
        <v>67.063855477193556</v>
      </c>
      <c r="R20" s="29" t="s">
        <v>46</v>
      </c>
      <c r="S20" s="29">
        <v>54.330435722201457</v>
      </c>
      <c r="T20" s="29">
        <v>6.1155750670421662</v>
      </c>
      <c r="U20" s="29">
        <v>8.8839455205115634</v>
      </c>
      <c r="V20" s="29">
        <v>7.70028131747141E-15</v>
      </c>
      <c r="W20" s="29">
        <v>42.222022702400579</v>
      </c>
      <c r="X20" s="29">
        <v>66.438848742002335</v>
      </c>
      <c r="Y20" s="29">
        <v>42.222022702400579</v>
      </c>
      <c r="Z20" s="29">
        <v>66.438848742002335</v>
      </c>
    </row>
    <row r="21" spans="1:27" x14ac:dyDescent="0.3">
      <c r="B21" s="9">
        <v>42356</v>
      </c>
      <c r="C21" s="24" t="s">
        <v>7</v>
      </c>
      <c r="D21" s="4" t="s">
        <v>11</v>
      </c>
      <c r="E21" s="3" t="s">
        <v>15</v>
      </c>
      <c r="F21" s="5" t="s">
        <v>13</v>
      </c>
      <c r="G21" s="25">
        <v>76</v>
      </c>
      <c r="H21" s="20">
        <f t="shared" si="0"/>
        <v>1</v>
      </c>
      <c r="I21" s="3">
        <f t="shared" si="1"/>
        <v>0</v>
      </c>
      <c r="J21" s="35">
        <f t="shared" si="2"/>
        <v>0</v>
      </c>
      <c r="K21" s="3">
        <v>18</v>
      </c>
      <c r="L21" s="35">
        <f t="shared" si="3"/>
        <v>73.520024201824938</v>
      </c>
      <c r="M21" s="35">
        <f t="shared" si="4"/>
        <v>1.0337319774455882</v>
      </c>
      <c r="N21" s="48">
        <f t="shared" si="5"/>
        <v>77.769260302005634</v>
      </c>
      <c r="R21" s="29" t="s">
        <v>11</v>
      </c>
      <c r="S21" s="29">
        <v>11.670562421409361</v>
      </c>
      <c r="T21" s="29">
        <v>5.2279309368468851</v>
      </c>
      <c r="U21" s="29">
        <v>2.2323482391770484</v>
      </c>
      <c r="V21" s="29">
        <v>2.744735143286154E-2</v>
      </c>
      <c r="W21" s="29">
        <v>1.3196230038750816</v>
      </c>
      <c r="X21" s="29">
        <v>22.021501838943642</v>
      </c>
      <c r="Y21" s="29">
        <v>1.3196230038750816</v>
      </c>
      <c r="Z21" s="29">
        <v>22.021501838943642</v>
      </c>
    </row>
    <row r="22" spans="1:27" x14ac:dyDescent="0.3">
      <c r="B22" s="9">
        <v>42357</v>
      </c>
      <c r="C22" s="24" t="s">
        <v>8</v>
      </c>
      <c r="D22" s="4" t="s">
        <v>11</v>
      </c>
      <c r="E22" s="3" t="s">
        <v>12</v>
      </c>
      <c r="F22" s="5" t="s">
        <v>13</v>
      </c>
      <c r="G22" s="25">
        <v>67</v>
      </c>
      <c r="H22" s="20">
        <f t="shared" si="0"/>
        <v>1</v>
      </c>
      <c r="I22" s="3">
        <f t="shared" si="1"/>
        <v>0</v>
      </c>
      <c r="J22" s="35">
        <f t="shared" si="2"/>
        <v>0</v>
      </c>
      <c r="K22" s="3">
        <v>19</v>
      </c>
      <c r="L22" s="35">
        <f t="shared" si="3"/>
        <v>73.937747871725719</v>
      </c>
      <c r="M22" s="35">
        <f t="shared" si="4"/>
        <v>0.90616771444320987</v>
      </c>
      <c r="N22" s="48">
        <f t="shared" si="5"/>
        <v>65.77903001809679</v>
      </c>
      <c r="R22" s="29" t="s">
        <v>31</v>
      </c>
      <c r="S22" s="29">
        <v>-55.507898984091973</v>
      </c>
      <c r="T22" s="29">
        <v>16.853749367828126</v>
      </c>
      <c r="U22" s="29">
        <v>-3.2935044762235628</v>
      </c>
      <c r="V22" s="29">
        <v>1.3005634619326588E-3</v>
      </c>
      <c r="W22" s="29">
        <v>-88.877149797093864</v>
      </c>
      <c r="X22" s="29">
        <v>-22.13864817109009</v>
      </c>
      <c r="Y22" s="29">
        <v>-88.877149797093864</v>
      </c>
      <c r="Z22" s="29">
        <v>-22.13864817109009</v>
      </c>
    </row>
    <row r="23" spans="1:27" x14ac:dyDescent="0.3">
      <c r="B23" s="9">
        <v>42358</v>
      </c>
      <c r="C23" s="24" t="s">
        <v>9</v>
      </c>
      <c r="D23" s="4" t="s">
        <v>11</v>
      </c>
      <c r="E23" s="3" t="s">
        <v>12</v>
      </c>
      <c r="F23" s="5" t="s">
        <v>13</v>
      </c>
      <c r="G23" s="25">
        <v>52</v>
      </c>
      <c r="H23" s="20">
        <f t="shared" si="0"/>
        <v>1</v>
      </c>
      <c r="I23" s="3">
        <f t="shared" si="1"/>
        <v>0</v>
      </c>
      <c r="J23" s="35">
        <f t="shared" si="2"/>
        <v>0</v>
      </c>
      <c r="K23" s="3">
        <v>20</v>
      </c>
      <c r="L23" s="35">
        <f t="shared" si="3"/>
        <v>74.355471541626514</v>
      </c>
      <c r="M23" s="35">
        <f t="shared" si="4"/>
        <v>0.69934328868977413</v>
      </c>
      <c r="N23" s="48">
        <f t="shared" si="5"/>
        <v>58.530425884128611</v>
      </c>
      <c r="R23" s="29" t="s">
        <v>33</v>
      </c>
      <c r="S23" s="29">
        <v>-21.089815930918885</v>
      </c>
      <c r="T23" s="29">
        <v>8.818820350773743</v>
      </c>
      <c r="U23" s="29">
        <v>-2.3914554432519437</v>
      </c>
      <c r="V23" s="29">
        <v>1.8335381994246051E-2</v>
      </c>
      <c r="W23" s="29">
        <v>-38.550466480375619</v>
      </c>
      <c r="X23" s="29">
        <v>-3.6291653814621512</v>
      </c>
      <c r="Y23" s="29">
        <v>-38.550466480375619</v>
      </c>
      <c r="Z23" s="29">
        <v>-3.6291653814621512</v>
      </c>
    </row>
    <row r="24" spans="1:27" ht="15" thickBot="1" x14ac:dyDescent="0.35">
      <c r="B24" s="9">
        <v>42359</v>
      </c>
      <c r="C24" s="24" t="s">
        <v>10</v>
      </c>
      <c r="D24" s="4" t="s">
        <v>14</v>
      </c>
      <c r="E24" s="3" t="s">
        <v>15</v>
      </c>
      <c r="F24" s="5" t="s">
        <v>13</v>
      </c>
      <c r="G24" s="25">
        <v>68</v>
      </c>
      <c r="H24" s="20">
        <f t="shared" si="0"/>
        <v>0</v>
      </c>
      <c r="I24" s="3">
        <f t="shared" si="1"/>
        <v>0</v>
      </c>
      <c r="J24" s="35">
        <f t="shared" si="2"/>
        <v>0</v>
      </c>
      <c r="K24" s="3">
        <v>21</v>
      </c>
      <c r="L24" s="35">
        <f t="shared" si="3"/>
        <v>63.102632790117937</v>
      </c>
      <c r="M24" s="35">
        <f t="shared" si="4"/>
        <v>1.0776095543615576</v>
      </c>
      <c r="N24" s="48">
        <f t="shared" si="5"/>
        <v>62.077389040338133</v>
      </c>
      <c r="R24" s="30" t="s">
        <v>34</v>
      </c>
      <c r="S24" s="30">
        <v>0.4177236699007848</v>
      </c>
      <c r="T24" s="30">
        <v>7.0598080092071136E-2</v>
      </c>
      <c r="U24" s="30">
        <v>5.9169267684901152</v>
      </c>
      <c r="V24" s="30">
        <v>3.1795107607908114E-8</v>
      </c>
      <c r="W24" s="30">
        <v>0.27794438458604775</v>
      </c>
      <c r="X24" s="30">
        <v>0.55750295521552184</v>
      </c>
      <c r="Y24" s="30">
        <v>0.27794438458604775</v>
      </c>
      <c r="Z24" s="30">
        <v>0.55750295521552184</v>
      </c>
    </row>
    <row r="25" spans="1:27" x14ac:dyDescent="0.3">
      <c r="B25" s="9">
        <v>42360</v>
      </c>
      <c r="C25" s="24" t="s">
        <v>4</v>
      </c>
      <c r="D25" s="4" t="s">
        <v>14</v>
      </c>
      <c r="E25" s="3" t="s">
        <v>16</v>
      </c>
      <c r="F25" s="5" t="s">
        <v>13</v>
      </c>
      <c r="G25" s="25">
        <v>82</v>
      </c>
      <c r="H25" s="20">
        <f t="shared" si="0"/>
        <v>0</v>
      </c>
      <c r="I25" s="3">
        <f t="shared" si="1"/>
        <v>0</v>
      </c>
      <c r="J25" s="35">
        <f t="shared" si="2"/>
        <v>0</v>
      </c>
      <c r="K25" s="3">
        <v>22</v>
      </c>
      <c r="L25" s="35">
        <f t="shared" si="3"/>
        <v>63.520356460018725</v>
      </c>
      <c r="M25" s="35">
        <f t="shared" si="4"/>
        <v>1.290924745543782</v>
      </c>
      <c r="N25" s="48">
        <f t="shared" si="5"/>
        <v>69.200243607633027</v>
      </c>
    </row>
    <row r="26" spans="1:27" x14ac:dyDescent="0.3">
      <c r="B26" s="9">
        <v>42361</v>
      </c>
      <c r="C26" s="24" t="s">
        <v>5</v>
      </c>
      <c r="D26" s="4" t="s">
        <v>14</v>
      </c>
      <c r="E26" s="3" t="s">
        <v>29</v>
      </c>
      <c r="F26" s="5" t="s">
        <v>13</v>
      </c>
      <c r="G26" s="25">
        <v>81</v>
      </c>
      <c r="H26" s="20">
        <f t="shared" si="0"/>
        <v>0</v>
      </c>
      <c r="I26" s="3">
        <f t="shared" si="1"/>
        <v>0</v>
      </c>
      <c r="J26" s="35">
        <f t="shared" si="2"/>
        <v>0</v>
      </c>
      <c r="K26" s="3">
        <v>23</v>
      </c>
      <c r="L26" s="35">
        <f t="shared" si="3"/>
        <v>63.938080129919506</v>
      </c>
      <c r="M26" s="35">
        <f t="shared" si="4"/>
        <v>1.2668506754568074</v>
      </c>
      <c r="N26" s="48">
        <f t="shared" si="5"/>
        <v>71.260175428974364</v>
      </c>
    </row>
    <row r="27" spans="1:27" s="23" customFormat="1" x14ac:dyDescent="0.3">
      <c r="A27"/>
      <c r="B27" s="9">
        <v>42362</v>
      </c>
      <c r="C27" s="24" t="s">
        <v>6</v>
      </c>
      <c r="D27" s="4" t="s">
        <v>26</v>
      </c>
      <c r="E27" s="3" t="s">
        <v>29</v>
      </c>
      <c r="F27" s="5" t="s">
        <v>13</v>
      </c>
      <c r="G27" s="25">
        <v>68</v>
      </c>
      <c r="H27" s="20">
        <f t="shared" si="0"/>
        <v>0</v>
      </c>
      <c r="I27" s="3">
        <f t="shared" si="1"/>
        <v>0</v>
      </c>
      <c r="J27" s="35">
        <f t="shared" si="2"/>
        <v>0</v>
      </c>
      <c r="K27" s="3">
        <v>24</v>
      </c>
      <c r="L27" s="35">
        <f t="shared" si="3"/>
        <v>64.355803799820293</v>
      </c>
      <c r="M27" s="35">
        <f t="shared" si="4"/>
        <v>1.0566257584399852</v>
      </c>
      <c r="N27" s="48">
        <f t="shared" si="5"/>
        <v>70.256002156172826</v>
      </c>
      <c r="O27"/>
      <c r="P27"/>
      <c r="Q27"/>
      <c r="R27"/>
      <c r="S27"/>
      <c r="T27"/>
      <c r="U27"/>
      <c r="V27"/>
      <c r="W27"/>
      <c r="X27"/>
      <c r="Y27"/>
      <c r="Z27"/>
      <c r="AA27"/>
    </row>
    <row r="28" spans="1:27" s="23" customFormat="1" x14ac:dyDescent="0.3">
      <c r="A28"/>
      <c r="B28" s="9">
        <v>42363</v>
      </c>
      <c r="C28" s="24" t="s">
        <v>7</v>
      </c>
      <c r="D28" s="4" t="s">
        <v>26</v>
      </c>
      <c r="E28" s="3" t="s">
        <v>16</v>
      </c>
      <c r="F28" s="5" t="s">
        <v>30</v>
      </c>
      <c r="G28" s="25">
        <v>50</v>
      </c>
      <c r="H28" s="20">
        <f t="shared" si="0"/>
        <v>0</v>
      </c>
      <c r="I28" s="3">
        <f t="shared" si="1"/>
        <v>0</v>
      </c>
      <c r="J28" s="35">
        <f t="shared" si="2"/>
        <v>1</v>
      </c>
      <c r="K28" s="3">
        <v>25</v>
      </c>
      <c r="L28" s="35">
        <f t="shared" si="3"/>
        <v>43.683711538802186</v>
      </c>
      <c r="M28" s="35">
        <f t="shared" si="4"/>
        <v>1.1445913874691567</v>
      </c>
      <c r="N28" s="48">
        <f t="shared" si="5"/>
        <v>46.208498575745935</v>
      </c>
      <c r="O28"/>
      <c r="P28"/>
      <c r="Q28"/>
      <c r="R28" s="44"/>
      <c r="S28" s="29"/>
      <c r="T28" s="29"/>
      <c r="U28" s="29"/>
      <c r="V28" s="29"/>
      <c r="W28" s="29"/>
      <c r="X28" s="29"/>
      <c r="Y28" s="29"/>
      <c r="Z28" s="29"/>
    </row>
    <row r="29" spans="1:27" s="23" customFormat="1" x14ac:dyDescent="0.3">
      <c r="A29"/>
      <c r="B29" s="9">
        <v>42364</v>
      </c>
      <c r="C29" s="24" t="s">
        <v>8</v>
      </c>
      <c r="D29" s="4" t="s">
        <v>14</v>
      </c>
      <c r="E29" s="3" t="s">
        <v>15</v>
      </c>
      <c r="F29" s="5" t="s">
        <v>13</v>
      </c>
      <c r="G29" s="25">
        <v>61</v>
      </c>
      <c r="H29" s="20">
        <f t="shared" si="0"/>
        <v>0</v>
      </c>
      <c r="I29" s="3">
        <f t="shared" si="1"/>
        <v>0</v>
      </c>
      <c r="J29" s="35">
        <f t="shared" si="2"/>
        <v>0</v>
      </c>
      <c r="K29" s="3">
        <v>26</v>
      </c>
      <c r="L29" s="35">
        <f t="shared" si="3"/>
        <v>65.191251139621869</v>
      </c>
      <c r="M29" s="35">
        <f t="shared" si="4"/>
        <v>0.93570838009159618</v>
      </c>
      <c r="N29" s="48">
        <f t="shared" si="5"/>
        <v>57.997672218392196</v>
      </c>
      <c r="O29"/>
      <c r="P29"/>
      <c r="Q29"/>
      <c r="R29" s="29"/>
    </row>
    <row r="30" spans="1:27" ht="15" thickBot="1" x14ac:dyDescent="0.35">
      <c r="B30" s="9">
        <v>42365</v>
      </c>
      <c r="C30" s="24" t="s">
        <v>9</v>
      </c>
      <c r="D30" s="4" t="s">
        <v>14</v>
      </c>
      <c r="E30" s="3" t="s">
        <v>29</v>
      </c>
      <c r="F30" s="5" t="s">
        <v>13</v>
      </c>
      <c r="G30" s="25">
        <v>64</v>
      </c>
      <c r="H30" s="20">
        <f t="shared" si="0"/>
        <v>0</v>
      </c>
      <c r="I30" s="3">
        <f t="shared" si="1"/>
        <v>0</v>
      </c>
      <c r="J30" s="35">
        <f t="shared" si="2"/>
        <v>0</v>
      </c>
      <c r="K30" s="3">
        <v>27</v>
      </c>
      <c r="L30" s="35">
        <f t="shared" si="3"/>
        <v>65.60897480952265</v>
      </c>
      <c r="M30" s="35">
        <f t="shared" si="4"/>
        <v>0.97547630009165887</v>
      </c>
      <c r="N30" s="48">
        <f t="shared" si="5"/>
        <v>51.645442598970092</v>
      </c>
    </row>
    <row r="31" spans="1:27" ht="15" thickBot="1" x14ac:dyDescent="0.35">
      <c r="B31" s="9">
        <v>42366</v>
      </c>
      <c r="C31" s="24" t="s">
        <v>10</v>
      </c>
      <c r="D31" s="4" t="s">
        <v>11</v>
      </c>
      <c r="E31" s="3" t="s">
        <v>15</v>
      </c>
      <c r="F31" s="5" t="s">
        <v>13</v>
      </c>
      <c r="G31" s="25">
        <v>73</v>
      </c>
      <c r="H31" s="20">
        <f t="shared" si="0"/>
        <v>1</v>
      </c>
      <c r="I31" s="3">
        <f t="shared" si="1"/>
        <v>0</v>
      </c>
      <c r="J31" s="35">
        <f t="shared" si="2"/>
        <v>0</v>
      </c>
      <c r="K31" s="3">
        <v>28</v>
      </c>
      <c r="L31" s="35">
        <f t="shared" si="3"/>
        <v>77.697260900832788</v>
      </c>
      <c r="M31" s="35">
        <f t="shared" si="4"/>
        <v>0.93954406054509387</v>
      </c>
      <c r="N31" s="48">
        <f t="shared" si="5"/>
        <v>76.434894695312678</v>
      </c>
      <c r="R31" s="51" t="s">
        <v>65</v>
      </c>
      <c r="S31" s="52" t="s">
        <v>64</v>
      </c>
      <c r="U31" s="39" t="s">
        <v>71</v>
      </c>
      <c r="V31" s="39" t="s">
        <v>72</v>
      </c>
    </row>
    <row r="32" spans="1:27" x14ac:dyDescent="0.3">
      <c r="B32" s="9">
        <v>42367</v>
      </c>
      <c r="C32" s="24" t="s">
        <v>4</v>
      </c>
      <c r="D32" s="4" t="s">
        <v>11</v>
      </c>
      <c r="E32" s="3" t="s">
        <v>29</v>
      </c>
      <c r="F32" s="5" t="s">
        <v>13</v>
      </c>
      <c r="G32" s="25">
        <v>89</v>
      </c>
      <c r="H32" s="20">
        <f t="shared" si="0"/>
        <v>1</v>
      </c>
      <c r="I32" s="3">
        <f t="shared" si="1"/>
        <v>0</v>
      </c>
      <c r="J32" s="35">
        <f t="shared" si="2"/>
        <v>0</v>
      </c>
      <c r="K32" s="3">
        <v>29</v>
      </c>
      <c r="L32" s="35">
        <f t="shared" si="3"/>
        <v>78.114984570733569</v>
      </c>
      <c r="M32" s="35">
        <f t="shared" si="4"/>
        <v>1.1393460613105542</v>
      </c>
      <c r="N32" s="48">
        <f t="shared" si="5"/>
        <v>85.099899669229046</v>
      </c>
      <c r="R32" s="4" t="s">
        <v>4</v>
      </c>
      <c r="S32" s="48">
        <f>SUMIF($C$4:$C$128,$R$32,$M$4:$M$128)/COUNTIF($C$4:$C$128,$R$32)</f>
        <v>1.089418376472578</v>
      </c>
      <c r="U32" s="40" t="s">
        <v>59</v>
      </c>
      <c r="V32" s="41">
        <f>SUMXMY2($G$4:$G$128,$L$4:$L$128)/COUNT($G$4:$G$128)</f>
        <v>730.87375726453365</v>
      </c>
    </row>
    <row r="33" spans="2:22" ht="15" thickBot="1" x14ac:dyDescent="0.35">
      <c r="B33" s="9">
        <v>42368</v>
      </c>
      <c r="C33" s="24" t="s">
        <v>5</v>
      </c>
      <c r="D33" s="4" t="s">
        <v>11</v>
      </c>
      <c r="E33" s="3" t="s">
        <v>16</v>
      </c>
      <c r="F33" s="5" t="s">
        <v>13</v>
      </c>
      <c r="G33" s="25">
        <v>84</v>
      </c>
      <c r="H33" s="20">
        <f t="shared" si="0"/>
        <v>1</v>
      </c>
      <c r="I33" s="3">
        <f t="shared" si="1"/>
        <v>0</v>
      </c>
      <c r="J33" s="35">
        <f t="shared" si="2"/>
        <v>0</v>
      </c>
      <c r="K33" s="3">
        <v>30</v>
      </c>
      <c r="L33" s="35">
        <f t="shared" si="3"/>
        <v>78.532708240634364</v>
      </c>
      <c r="M33" s="35">
        <f t="shared" si="4"/>
        <v>1.0696180213550404</v>
      </c>
      <c r="N33" s="48">
        <f t="shared" si="5"/>
        <v>87.526158977071418</v>
      </c>
      <c r="R33" s="4" t="s">
        <v>5</v>
      </c>
      <c r="S33" s="48">
        <f>SUMIF($C$4:$C$128,$R$33,$M$4:$M$128)/COUNTIF($C$4:$C$128,$R$33)</f>
        <v>1.1145185354983551</v>
      </c>
      <c r="U33" s="42" t="s">
        <v>67</v>
      </c>
      <c r="V33" s="43">
        <f>SUMXMY2($G$4:$G$128,$N$4:$N$128)/COUNT($G$4:$G$128)</f>
        <v>625.61921247021337</v>
      </c>
    </row>
    <row r="34" spans="2:22" x14ac:dyDescent="0.3">
      <c r="B34" s="9">
        <v>42369</v>
      </c>
      <c r="C34" s="24" t="s">
        <v>6</v>
      </c>
      <c r="D34" s="4" t="s">
        <v>11</v>
      </c>
      <c r="E34" s="3" t="s">
        <v>29</v>
      </c>
      <c r="F34" s="5" t="s">
        <v>30</v>
      </c>
      <c r="G34" s="25">
        <v>71</v>
      </c>
      <c r="H34" s="20">
        <f t="shared" si="0"/>
        <v>1</v>
      </c>
      <c r="I34" s="3">
        <f t="shared" si="1"/>
        <v>0</v>
      </c>
      <c r="J34" s="35">
        <f t="shared" si="2"/>
        <v>1</v>
      </c>
      <c r="K34" s="3">
        <v>31</v>
      </c>
      <c r="L34" s="35">
        <f t="shared" si="3"/>
        <v>57.860615979616256</v>
      </c>
      <c r="M34" s="35">
        <f t="shared" si="4"/>
        <v>1.2270868326913875</v>
      </c>
      <c r="N34" s="48">
        <f t="shared" si="5"/>
        <v>63.165329636248885</v>
      </c>
      <c r="R34" s="4" t="s">
        <v>6</v>
      </c>
      <c r="S34" s="48">
        <f>SUMIF($C$4:$C$128,$R$34,$M$4:$M$128)/COUNTIF($C$4:$C$128,$R$34)</f>
        <v>1.0916809053415786</v>
      </c>
    </row>
    <row r="35" spans="2:22" x14ac:dyDescent="0.3">
      <c r="B35" s="9">
        <v>42370</v>
      </c>
      <c r="C35" s="24" t="s">
        <v>7</v>
      </c>
      <c r="D35" s="4" t="s">
        <v>11</v>
      </c>
      <c r="E35" s="3" t="s">
        <v>15</v>
      </c>
      <c r="F35" s="5" t="s">
        <v>30</v>
      </c>
      <c r="G35" s="25">
        <v>68</v>
      </c>
      <c r="H35" s="20">
        <f t="shared" si="0"/>
        <v>1</v>
      </c>
      <c r="I35" s="3">
        <f t="shared" si="1"/>
        <v>0</v>
      </c>
      <c r="J35" s="35">
        <f t="shared" si="2"/>
        <v>1</v>
      </c>
      <c r="K35" s="3">
        <v>32</v>
      </c>
      <c r="L35" s="35">
        <f t="shared" si="3"/>
        <v>58.278339649517036</v>
      </c>
      <c r="M35" s="35">
        <f t="shared" si="4"/>
        <v>1.1668142985704215</v>
      </c>
      <c r="N35" s="48">
        <f t="shared" si="5"/>
        <v>61.646652260752177</v>
      </c>
      <c r="R35" s="4" t="s">
        <v>7</v>
      </c>
      <c r="S35" s="48">
        <f>SUMIF($C$4:$C$128,$R$35,$M$4:$M$128)/COUNTIF($C$4:$C$128,$R$35)</f>
        <v>1.0577969899535917</v>
      </c>
    </row>
    <row r="36" spans="2:22" x14ac:dyDescent="0.3">
      <c r="B36" s="9">
        <v>42371</v>
      </c>
      <c r="C36" s="24" t="s">
        <v>8</v>
      </c>
      <c r="D36" s="4" t="s">
        <v>11</v>
      </c>
      <c r="E36" s="3" t="s">
        <v>12</v>
      </c>
      <c r="F36" s="5" t="s">
        <v>13</v>
      </c>
      <c r="G36" s="25">
        <v>68</v>
      </c>
      <c r="H36" s="20">
        <f t="shared" ref="H36:H67" si="6">IF(D36=H$3,1,0)</f>
        <v>1</v>
      </c>
      <c r="I36" s="3">
        <f t="shared" ref="I36:I67" si="7">IF(D36=I$3,1,0)</f>
        <v>0</v>
      </c>
      <c r="J36" s="35">
        <f t="shared" ref="J36:J67" si="8">IF(F36="Yes",1,0)</f>
        <v>0</v>
      </c>
      <c r="K36" s="3">
        <v>33</v>
      </c>
      <c r="L36" s="35">
        <f t="shared" ref="L36:L67" si="9">$S$20+$S$21*H36+$S$22*I36+$S$23*J36+$S$24*K36</f>
        <v>79.785879250336706</v>
      </c>
      <c r="M36" s="35">
        <f t="shared" si="4"/>
        <v>0.85228113845361964</v>
      </c>
      <c r="N36" s="48">
        <f t="shared" si="5"/>
        <v>70.981844826181202</v>
      </c>
      <c r="R36" s="4" t="s">
        <v>8</v>
      </c>
      <c r="S36" s="48">
        <f>SUMIF($C$4:$C$128,$R$36,$M$4:$M$128)/COUNTIF($C$4:$C$128,$R$36)</f>
        <v>0.88965422820582185</v>
      </c>
    </row>
    <row r="37" spans="2:22" x14ac:dyDescent="0.3">
      <c r="B37" s="9">
        <v>42372</v>
      </c>
      <c r="C37" s="24" t="s">
        <v>9</v>
      </c>
      <c r="D37" s="4" t="s">
        <v>11</v>
      </c>
      <c r="E37" s="3" t="s">
        <v>15</v>
      </c>
      <c r="F37" s="5" t="s">
        <v>13</v>
      </c>
      <c r="G37" s="25">
        <v>61</v>
      </c>
      <c r="H37" s="20">
        <f t="shared" si="6"/>
        <v>1</v>
      </c>
      <c r="I37" s="3">
        <f t="shared" si="7"/>
        <v>0</v>
      </c>
      <c r="J37" s="35">
        <f t="shared" si="8"/>
        <v>0</v>
      </c>
      <c r="K37" s="3">
        <v>34</v>
      </c>
      <c r="L37" s="35">
        <f t="shared" si="9"/>
        <v>80.2036029202375</v>
      </c>
      <c r="M37" s="35">
        <f t="shared" si="4"/>
        <v>0.76056433600201867</v>
      </c>
      <c r="N37" s="48">
        <f t="shared" si="5"/>
        <v>63.133901769891914</v>
      </c>
      <c r="R37" s="4" t="s">
        <v>9</v>
      </c>
      <c r="S37" s="48">
        <f>SUMIF($C$4:$C$128,$R$37,$M$4:$M$128)/COUNTIF($C$4:$C$128,$R$37)</f>
        <v>0.78717039473499206</v>
      </c>
    </row>
    <row r="38" spans="2:22" ht="15" thickBot="1" x14ac:dyDescent="0.35">
      <c r="B38" s="9">
        <v>42373</v>
      </c>
      <c r="C38" s="24" t="s">
        <v>10</v>
      </c>
      <c r="D38" s="4" t="s">
        <v>11</v>
      </c>
      <c r="E38" s="3" t="s">
        <v>15</v>
      </c>
      <c r="F38" s="5" t="s">
        <v>13</v>
      </c>
      <c r="G38" s="25">
        <v>75</v>
      </c>
      <c r="H38" s="20">
        <f t="shared" si="6"/>
        <v>1</v>
      </c>
      <c r="I38" s="3">
        <f t="shared" si="7"/>
        <v>0</v>
      </c>
      <c r="J38" s="35">
        <f t="shared" si="8"/>
        <v>0</v>
      </c>
      <c r="K38" s="3">
        <v>35</v>
      </c>
      <c r="L38" s="35">
        <f t="shared" si="9"/>
        <v>80.621326590138281</v>
      </c>
      <c r="M38" s="35">
        <f t="shared" si="4"/>
        <v>0.93027494302201308</v>
      </c>
      <c r="N38" s="48">
        <f t="shared" si="5"/>
        <v>79.311452381554702</v>
      </c>
      <c r="R38" s="6" t="s">
        <v>10</v>
      </c>
      <c r="S38" s="43">
        <f>SUMIF($C$4:$C$128,$R$38,$M$4:$M$128)/COUNTIF($C$4:$C$128,$R$38)</f>
        <v>0.98375275793658545</v>
      </c>
      <c r="T38">
        <v>1</v>
      </c>
      <c r="U38" s="33" t="str">
        <f>_xlfn.CONCAT("Significance of F value is ",IF(W15&lt;0.05,"less","greater")," than 0.05 which means model is ",IF(W15&lt;0.05,"good fit","not good fit"))</f>
        <v>Significance of F value is less than 0.05 which means model is good fit</v>
      </c>
    </row>
    <row r="39" spans="2:22" x14ac:dyDescent="0.3">
      <c r="B39" s="9">
        <v>42374</v>
      </c>
      <c r="C39" s="24" t="s">
        <v>4</v>
      </c>
      <c r="D39" s="4" t="s">
        <v>11</v>
      </c>
      <c r="E39" s="3" t="s">
        <v>12</v>
      </c>
      <c r="F39" s="5" t="s">
        <v>13</v>
      </c>
      <c r="G39" s="25">
        <v>81</v>
      </c>
      <c r="H39" s="20">
        <f t="shared" si="6"/>
        <v>1</v>
      </c>
      <c r="I39" s="3">
        <f t="shared" si="7"/>
        <v>0</v>
      </c>
      <c r="J39" s="35">
        <f t="shared" si="8"/>
        <v>0</v>
      </c>
      <c r="K39" s="3">
        <v>36</v>
      </c>
      <c r="L39" s="35">
        <f t="shared" si="9"/>
        <v>81.039050260039062</v>
      </c>
      <c r="M39" s="35">
        <f t="shared" si="4"/>
        <v>0.99951813033452697</v>
      </c>
      <c r="N39" s="48">
        <f t="shared" si="5"/>
        <v>88.28543056517141</v>
      </c>
      <c r="R39" s="45"/>
      <c r="T39">
        <v>2</v>
      </c>
      <c r="U39" s="33" t="s">
        <v>84</v>
      </c>
    </row>
    <row r="40" spans="2:22" x14ac:dyDescent="0.3">
      <c r="B40" s="9">
        <v>42375</v>
      </c>
      <c r="C40" s="24" t="s">
        <v>5</v>
      </c>
      <c r="D40" s="4" t="s">
        <v>11</v>
      </c>
      <c r="E40" s="3" t="s">
        <v>12</v>
      </c>
      <c r="F40" s="5" t="s">
        <v>13</v>
      </c>
      <c r="G40" s="25">
        <v>84</v>
      </c>
      <c r="H40" s="20">
        <f t="shared" si="6"/>
        <v>1</v>
      </c>
      <c r="I40" s="3">
        <f t="shared" si="7"/>
        <v>0</v>
      </c>
      <c r="J40" s="35">
        <f t="shared" si="8"/>
        <v>0</v>
      </c>
      <c r="K40" s="3">
        <v>37</v>
      </c>
      <c r="L40" s="35">
        <f t="shared" si="9"/>
        <v>81.456773929939857</v>
      </c>
      <c r="M40" s="35">
        <f t="shared" si="4"/>
        <v>1.0312217873033807</v>
      </c>
      <c r="N40" s="48">
        <f t="shared" si="5"/>
        <v>90.785084386817161</v>
      </c>
      <c r="U40" s="29" t="s">
        <v>11</v>
      </c>
    </row>
    <row r="41" spans="2:22" x14ac:dyDescent="0.3">
      <c r="B41" s="9">
        <v>42376</v>
      </c>
      <c r="C41" s="24" t="s">
        <v>6</v>
      </c>
      <c r="D41" s="4" t="s">
        <v>11</v>
      </c>
      <c r="E41" s="3" t="s">
        <v>12</v>
      </c>
      <c r="F41" s="5" t="s">
        <v>13</v>
      </c>
      <c r="G41" s="25">
        <v>78</v>
      </c>
      <c r="H41" s="20">
        <f t="shared" si="6"/>
        <v>1</v>
      </c>
      <c r="I41" s="3">
        <f t="shared" si="7"/>
        <v>0</v>
      </c>
      <c r="J41" s="35">
        <f t="shared" si="8"/>
        <v>0</v>
      </c>
      <c r="K41" s="3">
        <v>38</v>
      </c>
      <c r="L41" s="35">
        <f t="shared" si="9"/>
        <v>81.874497599840637</v>
      </c>
      <c r="M41" s="35">
        <f t="shared" si="4"/>
        <v>0.95267760153134451</v>
      </c>
      <c r="N41" s="48">
        <f t="shared" si="5"/>
        <v>89.380825664180932</v>
      </c>
      <c r="U41" s="29" t="s">
        <v>33</v>
      </c>
    </row>
    <row r="42" spans="2:22" x14ac:dyDescent="0.3">
      <c r="B42" s="9">
        <v>42377</v>
      </c>
      <c r="C42" s="24" t="s">
        <v>7</v>
      </c>
      <c r="D42" s="4" t="s">
        <v>11</v>
      </c>
      <c r="E42" s="3" t="s">
        <v>15</v>
      </c>
      <c r="F42" s="5" t="s">
        <v>13</v>
      </c>
      <c r="G42" s="25">
        <v>81</v>
      </c>
      <c r="H42" s="20">
        <f t="shared" si="6"/>
        <v>1</v>
      </c>
      <c r="I42" s="3">
        <f t="shared" si="7"/>
        <v>0</v>
      </c>
      <c r="J42" s="35">
        <f t="shared" si="8"/>
        <v>0</v>
      </c>
      <c r="K42" s="3">
        <v>39</v>
      </c>
      <c r="L42" s="35">
        <f t="shared" si="9"/>
        <v>82.292221269741418</v>
      </c>
      <c r="M42" s="35">
        <f t="shared" si="4"/>
        <v>0.98429716381690913</v>
      </c>
      <c r="N42" s="48">
        <f t="shared" si="5"/>
        <v>87.048463955727414</v>
      </c>
      <c r="T42">
        <v>3</v>
      </c>
      <c r="U42" s="44" t="s">
        <v>85</v>
      </c>
    </row>
    <row r="43" spans="2:22" x14ac:dyDescent="0.3">
      <c r="B43" s="9">
        <v>42378</v>
      </c>
      <c r="C43" s="24" t="s">
        <v>8</v>
      </c>
      <c r="D43" s="4" t="s">
        <v>11</v>
      </c>
      <c r="E43" s="3" t="s">
        <v>15</v>
      </c>
      <c r="F43" s="5" t="s">
        <v>13</v>
      </c>
      <c r="G43" s="25">
        <v>67</v>
      </c>
      <c r="H43" s="20">
        <f t="shared" si="6"/>
        <v>1</v>
      </c>
      <c r="I43" s="3">
        <f t="shared" si="7"/>
        <v>0</v>
      </c>
      <c r="J43" s="35">
        <f t="shared" si="8"/>
        <v>0</v>
      </c>
      <c r="K43" s="3">
        <v>40</v>
      </c>
      <c r="L43" s="35">
        <f t="shared" si="9"/>
        <v>82.709944939642213</v>
      </c>
      <c r="M43" s="35">
        <f t="shared" si="4"/>
        <v>0.81005978239851828</v>
      </c>
      <c r="N43" s="48">
        <f t="shared" si="5"/>
        <v>73.583252230223408</v>
      </c>
      <c r="T43">
        <v>4</v>
      </c>
      <c r="U43" s="33" t="str">
        <f>_xlfn.CONCAT("Adjusted R square is ",ROUND(S9,3))</f>
        <v>Adjusted R square is 0.257</v>
      </c>
    </row>
    <row r="44" spans="2:22" x14ac:dyDescent="0.3">
      <c r="B44" s="9">
        <v>42379</v>
      </c>
      <c r="C44" s="24" t="s">
        <v>9</v>
      </c>
      <c r="D44" s="4" t="s">
        <v>14</v>
      </c>
      <c r="E44" s="3" t="s">
        <v>16</v>
      </c>
      <c r="F44" s="5" t="s">
        <v>13</v>
      </c>
      <c r="G44" s="25">
        <v>59</v>
      </c>
      <c r="H44" s="20">
        <f t="shared" si="6"/>
        <v>0</v>
      </c>
      <c r="I44" s="3">
        <f t="shared" si="7"/>
        <v>0</v>
      </c>
      <c r="J44" s="35">
        <f t="shared" si="8"/>
        <v>0</v>
      </c>
      <c r="K44" s="3">
        <v>41</v>
      </c>
      <c r="L44" s="35">
        <f t="shared" si="9"/>
        <v>71.457106188133636</v>
      </c>
      <c r="M44" s="35">
        <f t="shared" si="4"/>
        <v>0.82567015580876824</v>
      </c>
      <c r="N44" s="48">
        <f t="shared" si="5"/>
        <v>56.248918484733402</v>
      </c>
    </row>
    <row r="45" spans="2:22" x14ac:dyDescent="0.3">
      <c r="B45" s="9">
        <v>42380</v>
      </c>
      <c r="C45" s="24" t="s">
        <v>10</v>
      </c>
      <c r="D45" s="4" t="s">
        <v>11</v>
      </c>
      <c r="E45" s="3" t="s">
        <v>12</v>
      </c>
      <c r="F45" s="5" t="s">
        <v>13</v>
      </c>
      <c r="G45" s="25">
        <v>74</v>
      </c>
      <c r="H45" s="20">
        <f t="shared" si="6"/>
        <v>1</v>
      </c>
      <c r="I45" s="3">
        <f t="shared" si="7"/>
        <v>0</v>
      </c>
      <c r="J45" s="35">
        <f t="shared" si="8"/>
        <v>0</v>
      </c>
      <c r="K45" s="3">
        <v>42</v>
      </c>
      <c r="L45" s="35">
        <f t="shared" si="9"/>
        <v>83.545392279443774</v>
      </c>
      <c r="M45" s="35">
        <f t="shared" si="4"/>
        <v>0.88574603555015674</v>
      </c>
      <c r="N45" s="48">
        <f t="shared" si="5"/>
        <v>82.188010067796725</v>
      </c>
    </row>
    <row r="46" spans="2:22" x14ac:dyDescent="0.3">
      <c r="B46" s="9">
        <v>42381</v>
      </c>
      <c r="C46" s="24" t="s">
        <v>4</v>
      </c>
      <c r="D46" s="4" t="s">
        <v>11</v>
      </c>
      <c r="E46" s="3" t="s">
        <v>15</v>
      </c>
      <c r="F46" s="5" t="s">
        <v>13</v>
      </c>
      <c r="G46" s="25">
        <v>82</v>
      </c>
      <c r="H46" s="20">
        <f t="shared" si="6"/>
        <v>1</v>
      </c>
      <c r="I46" s="3">
        <f t="shared" si="7"/>
        <v>0</v>
      </c>
      <c r="J46" s="35">
        <f t="shared" si="8"/>
        <v>0</v>
      </c>
      <c r="K46" s="3">
        <v>43</v>
      </c>
      <c r="L46" s="35">
        <f t="shared" si="9"/>
        <v>83.963115949344569</v>
      </c>
      <c r="M46" s="35">
        <f t="shared" si="4"/>
        <v>0.97661930566596733</v>
      </c>
      <c r="N46" s="48">
        <f t="shared" si="5"/>
        <v>91.470961461113774</v>
      </c>
    </row>
    <row r="47" spans="2:22" x14ac:dyDescent="0.3">
      <c r="B47" s="9">
        <v>42382</v>
      </c>
      <c r="C47" s="24" t="s">
        <v>5</v>
      </c>
      <c r="D47" s="4" t="s">
        <v>11</v>
      </c>
      <c r="E47" s="3" t="s">
        <v>12</v>
      </c>
      <c r="F47" s="5" t="s">
        <v>13</v>
      </c>
      <c r="G47" s="25">
        <v>86</v>
      </c>
      <c r="H47" s="20">
        <f t="shared" si="6"/>
        <v>1</v>
      </c>
      <c r="I47" s="3">
        <f t="shared" si="7"/>
        <v>0</v>
      </c>
      <c r="J47" s="35">
        <f t="shared" si="8"/>
        <v>0</v>
      </c>
      <c r="K47" s="3">
        <v>44</v>
      </c>
      <c r="L47" s="35">
        <f t="shared" si="9"/>
        <v>84.38083961924535</v>
      </c>
      <c r="M47" s="35">
        <f t="shared" si="4"/>
        <v>1.0191887208999204</v>
      </c>
      <c r="N47" s="48">
        <f t="shared" si="5"/>
        <v>94.044009796562904</v>
      </c>
    </row>
    <row r="48" spans="2:22" x14ac:dyDescent="0.3">
      <c r="B48" s="9">
        <v>42383</v>
      </c>
      <c r="C48" s="24" t="s">
        <v>6</v>
      </c>
      <c r="D48" s="4" t="s">
        <v>11</v>
      </c>
      <c r="E48" s="3" t="s">
        <v>15</v>
      </c>
      <c r="F48" s="5" t="s">
        <v>13</v>
      </c>
      <c r="G48" s="25">
        <v>82</v>
      </c>
      <c r="H48" s="20">
        <f t="shared" si="6"/>
        <v>1</v>
      </c>
      <c r="I48" s="3">
        <f t="shared" si="7"/>
        <v>0</v>
      </c>
      <c r="J48" s="35">
        <f t="shared" si="8"/>
        <v>0</v>
      </c>
      <c r="K48" s="3">
        <v>45</v>
      </c>
      <c r="L48" s="35">
        <f t="shared" si="9"/>
        <v>84.798563289146131</v>
      </c>
      <c r="M48" s="35">
        <f t="shared" si="4"/>
        <v>0.96699751528096545</v>
      </c>
      <c r="N48" s="48">
        <f t="shared" si="5"/>
        <v>92.572972343160203</v>
      </c>
    </row>
    <row r="49" spans="2:14" x14ac:dyDescent="0.3">
      <c r="B49" s="9">
        <v>42384</v>
      </c>
      <c r="C49" s="24" t="s">
        <v>7</v>
      </c>
      <c r="D49" s="4" t="s">
        <v>11</v>
      </c>
      <c r="E49" s="3" t="s">
        <v>15</v>
      </c>
      <c r="F49" s="5" t="s">
        <v>13</v>
      </c>
      <c r="G49" s="25">
        <v>83</v>
      </c>
      <c r="H49" s="20">
        <f t="shared" si="6"/>
        <v>1</v>
      </c>
      <c r="I49" s="3">
        <f t="shared" si="7"/>
        <v>0</v>
      </c>
      <c r="J49" s="35">
        <f t="shared" si="8"/>
        <v>0</v>
      </c>
      <c r="K49" s="3">
        <v>46</v>
      </c>
      <c r="L49" s="35">
        <f t="shared" si="9"/>
        <v>85.216286959046911</v>
      </c>
      <c r="M49" s="35">
        <f t="shared" si="4"/>
        <v>0.97399221395187041</v>
      </c>
      <c r="N49" s="48">
        <f t="shared" si="5"/>
        <v>90.14153184030134</v>
      </c>
    </row>
    <row r="50" spans="2:14" x14ac:dyDescent="0.3">
      <c r="B50" s="9">
        <v>42385</v>
      </c>
      <c r="C50" s="24" t="s">
        <v>8</v>
      </c>
      <c r="D50" s="4" t="s">
        <v>11</v>
      </c>
      <c r="E50" s="3" t="s">
        <v>16</v>
      </c>
      <c r="F50" s="5" t="s">
        <v>13</v>
      </c>
      <c r="G50" s="25">
        <v>78</v>
      </c>
      <c r="H50" s="20">
        <f t="shared" si="6"/>
        <v>1</v>
      </c>
      <c r="I50" s="3">
        <f t="shared" si="7"/>
        <v>0</v>
      </c>
      <c r="J50" s="35">
        <f t="shared" si="8"/>
        <v>0</v>
      </c>
      <c r="K50" s="3">
        <v>47</v>
      </c>
      <c r="L50" s="35">
        <f t="shared" si="9"/>
        <v>85.634010628947692</v>
      </c>
      <c r="M50" s="35">
        <f t="shared" si="4"/>
        <v>0.91085305274295891</v>
      </c>
      <c r="N50" s="48">
        <f t="shared" si="5"/>
        <v>76.1846596342656</v>
      </c>
    </row>
    <row r="51" spans="2:14" x14ac:dyDescent="0.3">
      <c r="B51" s="9">
        <v>42386</v>
      </c>
      <c r="C51" s="24" t="s">
        <v>9</v>
      </c>
      <c r="D51" s="4" t="s">
        <v>11</v>
      </c>
      <c r="E51" s="3" t="s">
        <v>15</v>
      </c>
      <c r="F51" s="5" t="s">
        <v>13</v>
      </c>
      <c r="G51" s="25">
        <v>63</v>
      </c>
      <c r="H51" s="20">
        <f t="shared" si="6"/>
        <v>1</v>
      </c>
      <c r="I51" s="3">
        <f t="shared" si="7"/>
        <v>0</v>
      </c>
      <c r="J51" s="35">
        <f t="shared" si="8"/>
        <v>0</v>
      </c>
      <c r="K51" s="3">
        <v>48</v>
      </c>
      <c r="L51" s="35">
        <f t="shared" si="9"/>
        <v>86.051734298848487</v>
      </c>
      <c r="M51" s="35">
        <f t="shared" si="4"/>
        <v>0.73211772561384669</v>
      </c>
      <c r="N51" s="48">
        <f t="shared" si="5"/>
        <v>67.737377655655223</v>
      </c>
    </row>
    <row r="52" spans="2:14" x14ac:dyDescent="0.3">
      <c r="B52" s="9">
        <v>42387</v>
      </c>
      <c r="C52" s="24" t="s">
        <v>10</v>
      </c>
      <c r="D52" s="4" t="s">
        <v>11</v>
      </c>
      <c r="E52" s="3" t="s">
        <v>12</v>
      </c>
      <c r="F52" s="5" t="s">
        <v>30</v>
      </c>
      <c r="G52" s="25">
        <v>67</v>
      </c>
      <c r="H52" s="20">
        <f t="shared" si="6"/>
        <v>1</v>
      </c>
      <c r="I52" s="3">
        <f t="shared" si="7"/>
        <v>0</v>
      </c>
      <c r="J52" s="35">
        <f t="shared" si="8"/>
        <v>1</v>
      </c>
      <c r="K52" s="3">
        <v>49</v>
      </c>
      <c r="L52" s="35">
        <f t="shared" si="9"/>
        <v>65.379642037830379</v>
      </c>
      <c r="M52" s="35">
        <f t="shared" si="4"/>
        <v>1.0247838304350465</v>
      </c>
      <c r="N52" s="48">
        <f t="shared" si="5"/>
        <v>64.317403167622359</v>
      </c>
    </row>
    <row r="53" spans="2:14" x14ac:dyDescent="0.3">
      <c r="B53" s="9">
        <v>42388</v>
      </c>
      <c r="C53" s="24" t="s">
        <v>4</v>
      </c>
      <c r="D53" s="4" t="s">
        <v>11</v>
      </c>
      <c r="E53" s="3" t="s">
        <v>12</v>
      </c>
      <c r="F53" s="5" t="s">
        <v>13</v>
      </c>
      <c r="G53" s="25">
        <v>79</v>
      </c>
      <c r="H53" s="20">
        <f t="shared" si="6"/>
        <v>1</v>
      </c>
      <c r="I53" s="3">
        <f t="shared" si="7"/>
        <v>0</v>
      </c>
      <c r="J53" s="35">
        <f t="shared" si="8"/>
        <v>0</v>
      </c>
      <c r="K53" s="3">
        <v>50</v>
      </c>
      <c r="L53" s="35">
        <f t="shared" si="9"/>
        <v>86.887181638650048</v>
      </c>
      <c r="M53" s="35">
        <f t="shared" si="4"/>
        <v>0.90922502617875689</v>
      </c>
      <c r="N53" s="48">
        <f t="shared" si="5"/>
        <v>94.656492357056123</v>
      </c>
    </row>
    <row r="54" spans="2:14" x14ac:dyDescent="0.3">
      <c r="B54" s="9">
        <v>42389</v>
      </c>
      <c r="C54" s="24" t="s">
        <v>5</v>
      </c>
      <c r="D54" s="4" t="s">
        <v>11</v>
      </c>
      <c r="E54" s="3" t="s">
        <v>15</v>
      </c>
      <c r="F54" s="5" t="s">
        <v>13</v>
      </c>
      <c r="G54" s="25">
        <v>83</v>
      </c>
      <c r="H54" s="20">
        <f t="shared" si="6"/>
        <v>1</v>
      </c>
      <c r="I54" s="3">
        <f t="shared" si="7"/>
        <v>0</v>
      </c>
      <c r="J54" s="35">
        <f t="shared" si="8"/>
        <v>0</v>
      </c>
      <c r="K54" s="3">
        <v>51</v>
      </c>
      <c r="L54" s="35">
        <f t="shared" si="9"/>
        <v>87.304905308550843</v>
      </c>
      <c r="M54" s="35">
        <f t="shared" si="4"/>
        <v>0.95069114051110237</v>
      </c>
      <c r="N54" s="48">
        <f t="shared" si="5"/>
        <v>97.302935206308661</v>
      </c>
    </row>
    <row r="55" spans="2:14" x14ac:dyDescent="0.3">
      <c r="B55" s="9">
        <v>42390</v>
      </c>
      <c r="C55" s="24" t="s">
        <v>6</v>
      </c>
      <c r="D55" s="4" t="s">
        <v>11</v>
      </c>
      <c r="E55" s="3" t="s">
        <v>12</v>
      </c>
      <c r="F55" s="5" t="s">
        <v>13</v>
      </c>
      <c r="G55" s="25">
        <v>85</v>
      </c>
      <c r="H55" s="20">
        <f t="shared" si="6"/>
        <v>1</v>
      </c>
      <c r="I55" s="3">
        <f t="shared" si="7"/>
        <v>0</v>
      </c>
      <c r="J55" s="35">
        <f t="shared" si="8"/>
        <v>0</v>
      </c>
      <c r="K55" s="3">
        <v>52</v>
      </c>
      <c r="L55" s="35">
        <f t="shared" si="9"/>
        <v>87.722628978451624</v>
      </c>
      <c r="M55" s="35">
        <f t="shared" si="4"/>
        <v>0.9689632081236369</v>
      </c>
      <c r="N55" s="48">
        <f t="shared" si="5"/>
        <v>95.765119022139459</v>
      </c>
    </row>
    <row r="56" spans="2:14" x14ac:dyDescent="0.3">
      <c r="B56" s="9">
        <v>42391</v>
      </c>
      <c r="C56" s="24" t="s">
        <v>7</v>
      </c>
      <c r="D56" s="4" t="s">
        <v>11</v>
      </c>
      <c r="E56" s="3" t="s">
        <v>12</v>
      </c>
      <c r="F56" s="5" t="s">
        <v>13</v>
      </c>
      <c r="G56" s="25">
        <v>84</v>
      </c>
      <c r="H56" s="20">
        <f t="shared" si="6"/>
        <v>1</v>
      </c>
      <c r="I56" s="3">
        <f t="shared" si="7"/>
        <v>0</v>
      </c>
      <c r="J56" s="35">
        <f t="shared" si="8"/>
        <v>0</v>
      </c>
      <c r="K56" s="3">
        <v>53</v>
      </c>
      <c r="L56" s="35">
        <f t="shared" si="9"/>
        <v>88.140352648352405</v>
      </c>
      <c r="M56" s="35">
        <f t="shared" si="4"/>
        <v>0.95302545855618603</v>
      </c>
      <c r="N56" s="48">
        <f t="shared" si="5"/>
        <v>93.234599724875267</v>
      </c>
    </row>
    <row r="57" spans="2:14" x14ac:dyDescent="0.3">
      <c r="B57" s="9">
        <v>42392</v>
      </c>
      <c r="C57" s="24" t="s">
        <v>8</v>
      </c>
      <c r="D57" s="4" t="s">
        <v>11</v>
      </c>
      <c r="E57" s="3" t="s">
        <v>15</v>
      </c>
      <c r="F57" s="5" t="s">
        <v>13</v>
      </c>
      <c r="G57" s="25">
        <v>72</v>
      </c>
      <c r="H57" s="20">
        <f t="shared" si="6"/>
        <v>1</v>
      </c>
      <c r="I57" s="3">
        <f t="shared" si="7"/>
        <v>0</v>
      </c>
      <c r="J57" s="35">
        <f t="shared" si="8"/>
        <v>0</v>
      </c>
      <c r="K57" s="3">
        <v>54</v>
      </c>
      <c r="L57" s="35">
        <f t="shared" si="9"/>
        <v>88.5580763182532</v>
      </c>
      <c r="M57" s="35">
        <f t="shared" si="4"/>
        <v>0.81302579045700973</v>
      </c>
      <c r="N57" s="48">
        <f t="shared" si="5"/>
        <v>78.78606703830782</v>
      </c>
    </row>
    <row r="58" spans="2:14" x14ac:dyDescent="0.3">
      <c r="B58" s="9">
        <v>42393</v>
      </c>
      <c r="C58" s="24" t="s">
        <v>9</v>
      </c>
      <c r="D58" s="4" t="s">
        <v>11</v>
      </c>
      <c r="E58" s="3" t="s">
        <v>12</v>
      </c>
      <c r="F58" s="5" t="s">
        <v>13</v>
      </c>
      <c r="G58" s="25">
        <v>58</v>
      </c>
      <c r="H58" s="20">
        <f t="shared" si="6"/>
        <v>1</v>
      </c>
      <c r="I58" s="3">
        <f t="shared" si="7"/>
        <v>0</v>
      </c>
      <c r="J58" s="35">
        <f t="shared" si="8"/>
        <v>0</v>
      </c>
      <c r="K58" s="3">
        <v>55</v>
      </c>
      <c r="L58" s="35">
        <f t="shared" si="9"/>
        <v>88.97579998815398</v>
      </c>
      <c r="M58" s="35">
        <f t="shared" si="4"/>
        <v>0.65186264138925387</v>
      </c>
      <c r="N58" s="48">
        <f t="shared" si="5"/>
        <v>70.039115598536867</v>
      </c>
    </row>
    <row r="59" spans="2:14" x14ac:dyDescent="0.3">
      <c r="B59" s="9">
        <v>42394</v>
      </c>
      <c r="C59" s="24" t="s">
        <v>10</v>
      </c>
      <c r="D59" s="4" t="s">
        <v>11</v>
      </c>
      <c r="E59" s="3" t="s">
        <v>15</v>
      </c>
      <c r="F59" s="5" t="s">
        <v>13</v>
      </c>
      <c r="G59" s="25">
        <v>82</v>
      </c>
      <c r="H59" s="20">
        <f t="shared" si="6"/>
        <v>1</v>
      </c>
      <c r="I59" s="3">
        <f t="shared" si="7"/>
        <v>0</v>
      </c>
      <c r="J59" s="35">
        <f t="shared" si="8"/>
        <v>0</v>
      </c>
      <c r="K59" s="3">
        <v>56</v>
      </c>
      <c r="L59" s="35">
        <f t="shared" si="9"/>
        <v>89.393523658054761</v>
      </c>
      <c r="M59" s="35">
        <f t="shared" si="4"/>
        <v>0.91729240155767622</v>
      </c>
      <c r="N59" s="48">
        <f t="shared" si="5"/>
        <v>87.941125440280771</v>
      </c>
    </row>
    <row r="60" spans="2:14" x14ac:dyDescent="0.3">
      <c r="B60" s="9">
        <v>42395</v>
      </c>
      <c r="C60" s="24" t="s">
        <v>4</v>
      </c>
      <c r="D60" s="4" t="s">
        <v>14</v>
      </c>
      <c r="E60" s="3" t="s">
        <v>15</v>
      </c>
      <c r="F60" s="5" t="s">
        <v>13</v>
      </c>
      <c r="G60" s="25">
        <v>84</v>
      </c>
      <c r="H60" s="20">
        <f t="shared" si="6"/>
        <v>0</v>
      </c>
      <c r="I60" s="3">
        <f t="shared" si="7"/>
        <v>0</v>
      </c>
      <c r="J60" s="35">
        <f t="shared" si="8"/>
        <v>0</v>
      </c>
      <c r="K60" s="3">
        <v>57</v>
      </c>
      <c r="L60" s="35">
        <f t="shared" si="9"/>
        <v>78.140684906546198</v>
      </c>
      <c r="M60" s="35">
        <f t="shared" si="4"/>
        <v>1.0749841788622836</v>
      </c>
      <c r="N60" s="48">
        <f t="shared" si="5"/>
        <v>85.127898087344846</v>
      </c>
    </row>
    <row r="61" spans="2:14" x14ac:dyDescent="0.3">
      <c r="B61" s="9">
        <v>42396</v>
      </c>
      <c r="C61" s="24" t="s">
        <v>5</v>
      </c>
      <c r="D61" s="4" t="s">
        <v>14</v>
      </c>
      <c r="E61" s="3" t="s">
        <v>15</v>
      </c>
      <c r="F61" s="5" t="s">
        <v>13</v>
      </c>
      <c r="G61" s="25">
        <v>81</v>
      </c>
      <c r="H61" s="20">
        <f t="shared" si="6"/>
        <v>0</v>
      </c>
      <c r="I61" s="3">
        <f t="shared" si="7"/>
        <v>0</v>
      </c>
      <c r="J61" s="35">
        <f t="shared" si="8"/>
        <v>0</v>
      </c>
      <c r="K61" s="3">
        <v>58</v>
      </c>
      <c r="L61" s="35">
        <f t="shared" si="9"/>
        <v>78.558408576446979</v>
      </c>
      <c r="M61" s="35">
        <f t="shared" si="4"/>
        <v>1.0310799501644314</v>
      </c>
      <c r="N61" s="48">
        <f t="shared" si="5"/>
        <v>87.554802477703106</v>
      </c>
    </row>
    <row r="62" spans="2:14" x14ac:dyDescent="0.3">
      <c r="B62" s="9">
        <v>42397</v>
      </c>
      <c r="C62" s="24" t="s">
        <v>6</v>
      </c>
      <c r="D62" s="4" t="s">
        <v>11</v>
      </c>
      <c r="E62" s="3" t="s">
        <v>15</v>
      </c>
      <c r="F62" s="5" t="s">
        <v>13</v>
      </c>
      <c r="G62" s="25">
        <v>90</v>
      </c>
      <c r="H62" s="20">
        <f t="shared" si="6"/>
        <v>1</v>
      </c>
      <c r="I62" s="3">
        <f t="shared" si="7"/>
        <v>0</v>
      </c>
      <c r="J62" s="35">
        <f t="shared" si="8"/>
        <v>0</v>
      </c>
      <c r="K62" s="3">
        <v>59</v>
      </c>
      <c r="L62" s="35">
        <f t="shared" si="9"/>
        <v>90.646694667757117</v>
      </c>
      <c r="M62" s="35">
        <f t="shared" si="4"/>
        <v>0.99286576669863791</v>
      </c>
      <c r="N62" s="48">
        <f t="shared" si="5"/>
        <v>98.957265701118729</v>
      </c>
    </row>
    <row r="63" spans="2:14" x14ac:dyDescent="0.3">
      <c r="B63" s="9">
        <v>42398</v>
      </c>
      <c r="C63" s="24" t="s">
        <v>7</v>
      </c>
      <c r="D63" s="4" t="s">
        <v>11</v>
      </c>
      <c r="E63" s="3" t="s">
        <v>15</v>
      </c>
      <c r="F63" s="5" t="s">
        <v>13</v>
      </c>
      <c r="G63" s="25">
        <v>79</v>
      </c>
      <c r="H63" s="20">
        <f t="shared" si="6"/>
        <v>1</v>
      </c>
      <c r="I63" s="3">
        <f t="shared" si="7"/>
        <v>0</v>
      </c>
      <c r="J63" s="35">
        <f t="shared" si="8"/>
        <v>0</v>
      </c>
      <c r="K63" s="3">
        <v>60</v>
      </c>
      <c r="L63" s="35">
        <f t="shared" si="9"/>
        <v>91.064418337657898</v>
      </c>
      <c r="M63" s="35">
        <f t="shared" si="4"/>
        <v>0.86751775767211048</v>
      </c>
      <c r="N63" s="48">
        <f t="shared" si="5"/>
        <v>96.327667609449179</v>
      </c>
    </row>
    <row r="64" spans="2:14" x14ac:dyDescent="0.3">
      <c r="B64" s="9">
        <v>42399</v>
      </c>
      <c r="C64" s="24" t="s">
        <v>8</v>
      </c>
      <c r="D64" s="4" t="s">
        <v>11</v>
      </c>
      <c r="E64" s="3" t="s">
        <v>15</v>
      </c>
      <c r="F64" s="5" t="s">
        <v>13</v>
      </c>
      <c r="G64" s="25">
        <v>76</v>
      </c>
      <c r="H64" s="20">
        <f t="shared" si="6"/>
        <v>1</v>
      </c>
      <c r="I64" s="3">
        <f t="shared" si="7"/>
        <v>0</v>
      </c>
      <c r="J64" s="35">
        <f t="shared" si="8"/>
        <v>0</v>
      </c>
      <c r="K64" s="3">
        <v>61</v>
      </c>
      <c r="L64" s="35">
        <f t="shared" si="9"/>
        <v>91.482142007558693</v>
      </c>
      <c r="M64" s="35">
        <f t="shared" si="4"/>
        <v>0.83076323238824601</v>
      </c>
      <c r="N64" s="48">
        <f t="shared" si="5"/>
        <v>81.387474442350026</v>
      </c>
    </row>
    <row r="65" spans="2:14" x14ac:dyDescent="0.3">
      <c r="B65" s="9">
        <v>42400</v>
      </c>
      <c r="C65" s="24" t="s">
        <v>9</v>
      </c>
      <c r="D65" s="4" t="s">
        <v>14</v>
      </c>
      <c r="E65" s="3" t="s">
        <v>15</v>
      </c>
      <c r="F65" s="5" t="s">
        <v>13</v>
      </c>
      <c r="G65" s="25">
        <v>56</v>
      </c>
      <c r="H65" s="20">
        <f t="shared" si="6"/>
        <v>0</v>
      </c>
      <c r="I65" s="3">
        <f t="shared" si="7"/>
        <v>0</v>
      </c>
      <c r="J65" s="35">
        <f t="shared" si="8"/>
        <v>0</v>
      </c>
      <c r="K65" s="3">
        <v>62</v>
      </c>
      <c r="L65" s="35">
        <f t="shared" si="9"/>
        <v>80.229303256050116</v>
      </c>
      <c r="M65" s="35">
        <f t="shared" si="4"/>
        <v>0.69799933100848688</v>
      </c>
      <c r="N65" s="48">
        <f t="shared" si="5"/>
        <v>63.154132313378355</v>
      </c>
    </row>
    <row r="66" spans="2:14" x14ac:dyDescent="0.3">
      <c r="B66" s="9">
        <v>42401</v>
      </c>
      <c r="C66" s="24" t="s">
        <v>10</v>
      </c>
      <c r="D66" s="4" t="s">
        <v>26</v>
      </c>
      <c r="E66" s="3" t="s">
        <v>15</v>
      </c>
      <c r="F66" s="5" t="s">
        <v>13</v>
      </c>
      <c r="G66" s="25">
        <v>66</v>
      </c>
      <c r="H66" s="20">
        <f t="shared" si="6"/>
        <v>0</v>
      </c>
      <c r="I66" s="3">
        <f t="shared" si="7"/>
        <v>0</v>
      </c>
      <c r="J66" s="35">
        <f t="shared" si="8"/>
        <v>0</v>
      </c>
      <c r="K66" s="3">
        <v>63</v>
      </c>
      <c r="L66" s="35">
        <f t="shared" si="9"/>
        <v>80.647026925950897</v>
      </c>
      <c r="M66" s="35">
        <f t="shared" si="4"/>
        <v>0.81838106766912044</v>
      </c>
      <c r="N66" s="48">
        <f t="shared" si="5"/>
        <v>79.336735157790258</v>
      </c>
    </row>
    <row r="67" spans="2:14" x14ac:dyDescent="0.3">
      <c r="B67" s="9">
        <v>42402</v>
      </c>
      <c r="C67" s="24" t="s">
        <v>4</v>
      </c>
      <c r="D67" s="4" t="s">
        <v>14</v>
      </c>
      <c r="E67" s="3" t="s">
        <v>15</v>
      </c>
      <c r="F67" s="5" t="s">
        <v>13</v>
      </c>
      <c r="G67" s="25">
        <v>81</v>
      </c>
      <c r="H67" s="20">
        <f t="shared" si="6"/>
        <v>0</v>
      </c>
      <c r="I67" s="3">
        <f t="shared" si="7"/>
        <v>0</v>
      </c>
      <c r="J67" s="35">
        <f t="shared" si="8"/>
        <v>0</v>
      </c>
      <c r="K67" s="3">
        <v>64</v>
      </c>
      <c r="L67" s="35">
        <f t="shared" si="9"/>
        <v>81.064750595851677</v>
      </c>
      <c r="M67" s="35">
        <f t="shared" si="4"/>
        <v>0.9992012484418229</v>
      </c>
      <c r="N67" s="48">
        <f t="shared" si="5"/>
        <v>88.313428983287181</v>
      </c>
    </row>
    <row r="68" spans="2:14" x14ac:dyDescent="0.3">
      <c r="B68" s="9">
        <v>42403</v>
      </c>
      <c r="C68" s="24" t="s">
        <v>5</v>
      </c>
      <c r="D68" s="4" t="s">
        <v>14</v>
      </c>
      <c r="E68" s="3" t="s">
        <v>16</v>
      </c>
      <c r="F68" s="5" t="s">
        <v>13</v>
      </c>
      <c r="G68" s="25">
        <v>102</v>
      </c>
      <c r="H68" s="20">
        <f t="shared" ref="H68:H99" si="10">IF(D68=H$3,1,0)</f>
        <v>0</v>
      </c>
      <c r="I68" s="3">
        <f t="shared" ref="I68:I99" si="11">IF(D68=I$3,1,0)</f>
        <v>0</v>
      </c>
      <c r="J68" s="35">
        <f t="shared" ref="J68:J99" si="12">IF(F68="Yes",1,0)</f>
        <v>0</v>
      </c>
      <c r="K68" s="3">
        <v>65</v>
      </c>
      <c r="L68" s="35">
        <f t="shared" ref="L68:L99" si="13">$S$20+$S$21*H68+$S$22*I68+$S$23*J68+$S$24*K68</f>
        <v>81.482474265752472</v>
      </c>
      <c r="M68" s="35">
        <f t="shared" si="4"/>
        <v>1.2518029296377313</v>
      </c>
      <c r="N68" s="48">
        <f t="shared" si="5"/>
        <v>90.813727887448849</v>
      </c>
    </row>
    <row r="69" spans="2:14" x14ac:dyDescent="0.3">
      <c r="B69" s="9">
        <v>42404</v>
      </c>
      <c r="C69" s="24" t="s">
        <v>6</v>
      </c>
      <c r="D69" s="4" t="s">
        <v>14</v>
      </c>
      <c r="E69" s="3" t="s">
        <v>15</v>
      </c>
      <c r="F69" s="5" t="s">
        <v>13</v>
      </c>
      <c r="G69" s="25">
        <v>84</v>
      </c>
      <c r="H69" s="20">
        <f t="shared" si="10"/>
        <v>0</v>
      </c>
      <c r="I69" s="3">
        <f t="shared" si="11"/>
        <v>0</v>
      </c>
      <c r="J69" s="35">
        <f t="shared" si="12"/>
        <v>0</v>
      </c>
      <c r="K69" s="3">
        <v>66</v>
      </c>
      <c r="L69" s="35">
        <f t="shared" si="13"/>
        <v>81.900197935653253</v>
      </c>
      <c r="M69" s="35">
        <f t="shared" ref="M69:M138" si="14">G69/L69</f>
        <v>1.025638546881126</v>
      </c>
      <c r="N69" s="48">
        <f t="shared" ref="N69:N138" si="15">VLOOKUP(C69,$R$32:$S$38,2,FALSE)*L69</f>
        <v>89.408882230048434</v>
      </c>
    </row>
    <row r="70" spans="2:14" x14ac:dyDescent="0.3">
      <c r="B70" s="9">
        <v>42405</v>
      </c>
      <c r="C70" s="24" t="s">
        <v>7</v>
      </c>
      <c r="D70" s="4" t="s">
        <v>11</v>
      </c>
      <c r="E70" s="3" t="s">
        <v>16</v>
      </c>
      <c r="F70" s="5" t="s">
        <v>13</v>
      </c>
      <c r="G70" s="25">
        <v>98</v>
      </c>
      <c r="H70" s="20">
        <f t="shared" si="10"/>
        <v>1</v>
      </c>
      <c r="I70" s="3">
        <f t="shared" si="11"/>
        <v>0</v>
      </c>
      <c r="J70" s="35">
        <f t="shared" si="12"/>
        <v>0</v>
      </c>
      <c r="K70" s="3">
        <v>67</v>
      </c>
      <c r="L70" s="35">
        <f t="shared" si="13"/>
        <v>93.988484026963391</v>
      </c>
      <c r="M70" s="35">
        <f t="shared" si="14"/>
        <v>1.0426809306966349</v>
      </c>
      <c r="N70" s="48">
        <f t="shared" si="15"/>
        <v>99.420735494023106</v>
      </c>
    </row>
    <row r="71" spans="2:14" x14ac:dyDescent="0.3">
      <c r="B71" s="9">
        <v>42406</v>
      </c>
      <c r="C71" s="24" t="s">
        <v>8</v>
      </c>
      <c r="D71" s="4" t="s">
        <v>11</v>
      </c>
      <c r="E71" s="3" t="s">
        <v>15</v>
      </c>
      <c r="F71" s="5" t="s">
        <v>13</v>
      </c>
      <c r="G71" s="25">
        <v>69</v>
      </c>
      <c r="H71" s="20">
        <f t="shared" si="10"/>
        <v>1</v>
      </c>
      <c r="I71" s="3">
        <f t="shared" si="11"/>
        <v>0</v>
      </c>
      <c r="J71" s="35">
        <f t="shared" si="12"/>
        <v>0</v>
      </c>
      <c r="K71" s="3">
        <v>68</v>
      </c>
      <c r="L71" s="35">
        <f t="shared" si="13"/>
        <v>94.406207696864186</v>
      </c>
      <c r="M71" s="35">
        <f t="shared" si="14"/>
        <v>0.7308841408136757</v>
      </c>
      <c r="N71" s="48">
        <f t="shared" si="15"/>
        <v>83.988881846392232</v>
      </c>
    </row>
    <row r="72" spans="2:14" x14ac:dyDescent="0.3">
      <c r="B72" s="9">
        <v>42407</v>
      </c>
      <c r="C72" s="24" t="s">
        <v>9</v>
      </c>
      <c r="D72" s="4" t="s">
        <v>11</v>
      </c>
      <c r="E72" s="3" t="s">
        <v>15</v>
      </c>
      <c r="F72" s="5" t="s">
        <v>13</v>
      </c>
      <c r="G72" s="25">
        <v>66</v>
      </c>
      <c r="H72" s="20">
        <f t="shared" si="10"/>
        <v>1</v>
      </c>
      <c r="I72" s="3">
        <f t="shared" si="11"/>
        <v>0</v>
      </c>
      <c r="J72" s="35">
        <f t="shared" si="12"/>
        <v>0</v>
      </c>
      <c r="K72" s="3">
        <v>69</v>
      </c>
      <c r="L72" s="35">
        <f t="shared" si="13"/>
        <v>94.823931366764967</v>
      </c>
      <c r="M72" s="35">
        <f t="shared" si="14"/>
        <v>0.69602682623146839</v>
      </c>
      <c r="N72" s="48">
        <f t="shared" si="15"/>
        <v>74.642591484300169</v>
      </c>
    </row>
    <row r="73" spans="2:14" x14ac:dyDescent="0.3">
      <c r="B73" s="9">
        <v>42408</v>
      </c>
      <c r="C73" s="24" t="s">
        <v>10</v>
      </c>
      <c r="D73" s="4" t="s">
        <v>11</v>
      </c>
      <c r="E73" s="3" t="s">
        <v>15</v>
      </c>
      <c r="F73" s="5" t="s">
        <v>30</v>
      </c>
      <c r="G73" s="25">
        <v>75</v>
      </c>
      <c r="H73" s="20">
        <f t="shared" si="10"/>
        <v>1</v>
      </c>
      <c r="I73" s="3">
        <f t="shared" si="11"/>
        <v>0</v>
      </c>
      <c r="J73" s="35">
        <f t="shared" si="12"/>
        <v>1</v>
      </c>
      <c r="K73" s="3">
        <v>70</v>
      </c>
      <c r="L73" s="35">
        <f t="shared" si="13"/>
        <v>74.151839105746859</v>
      </c>
      <c r="M73" s="35">
        <f t="shared" si="14"/>
        <v>1.0114381639684431</v>
      </c>
      <c r="N73" s="48">
        <f t="shared" si="15"/>
        <v>72.947076226348415</v>
      </c>
    </row>
    <row r="74" spans="2:14" x14ac:dyDescent="0.3">
      <c r="B74" s="9">
        <v>42409</v>
      </c>
      <c r="C74" s="24" t="s">
        <v>4</v>
      </c>
      <c r="D74" s="4" t="s">
        <v>11</v>
      </c>
      <c r="E74" s="3" t="s">
        <v>15</v>
      </c>
      <c r="F74" s="5" t="s">
        <v>13</v>
      </c>
      <c r="G74" s="25">
        <v>88</v>
      </c>
      <c r="H74" s="20">
        <f t="shared" si="10"/>
        <v>1</v>
      </c>
      <c r="I74" s="3">
        <f t="shared" si="11"/>
        <v>0</v>
      </c>
      <c r="J74" s="35">
        <f t="shared" si="12"/>
        <v>0</v>
      </c>
      <c r="K74" s="3">
        <v>71</v>
      </c>
      <c r="L74" s="35">
        <f t="shared" si="13"/>
        <v>95.659378706566542</v>
      </c>
      <c r="M74" s="35">
        <f t="shared" si="14"/>
        <v>0.91993070820518763</v>
      </c>
      <c r="N74" s="48">
        <f t="shared" si="15"/>
        <v>104.21308504488321</v>
      </c>
    </row>
    <row r="75" spans="2:14" x14ac:dyDescent="0.3">
      <c r="B75" s="9">
        <v>42410</v>
      </c>
      <c r="C75" s="24" t="s">
        <v>5</v>
      </c>
      <c r="D75" s="4" t="s">
        <v>11</v>
      </c>
      <c r="E75" s="3" t="s">
        <v>16</v>
      </c>
      <c r="F75" s="5" t="s">
        <v>30</v>
      </c>
      <c r="G75" s="25">
        <v>89</v>
      </c>
      <c r="H75" s="20">
        <f t="shared" si="10"/>
        <v>1</v>
      </c>
      <c r="I75" s="3">
        <f t="shared" si="11"/>
        <v>0</v>
      </c>
      <c r="J75" s="35">
        <f t="shared" si="12"/>
        <v>1</v>
      </c>
      <c r="K75" s="3">
        <v>72</v>
      </c>
      <c r="L75" s="35">
        <f t="shared" si="13"/>
        <v>74.987286445548435</v>
      </c>
      <c r="M75" s="35">
        <f t="shared" si="14"/>
        <v>1.1868678574551008</v>
      </c>
      <c r="N75" s="48">
        <f t="shared" si="15"/>
        <v>83.574720670288301</v>
      </c>
    </row>
    <row r="76" spans="2:14" x14ac:dyDescent="0.3">
      <c r="B76" s="9">
        <v>42411</v>
      </c>
      <c r="C76" s="24" t="s">
        <v>6</v>
      </c>
      <c r="D76" s="4" t="s">
        <v>11</v>
      </c>
      <c r="E76" s="3" t="s">
        <v>12</v>
      </c>
      <c r="F76" s="5" t="s">
        <v>13</v>
      </c>
      <c r="G76" s="25">
        <v>86</v>
      </c>
      <c r="H76" s="20">
        <f t="shared" si="10"/>
        <v>1</v>
      </c>
      <c r="I76" s="3">
        <f t="shared" si="11"/>
        <v>0</v>
      </c>
      <c r="J76" s="35">
        <f t="shared" si="12"/>
        <v>0</v>
      </c>
      <c r="K76" s="3">
        <v>73</v>
      </c>
      <c r="L76" s="35">
        <f t="shared" si="13"/>
        <v>96.494826046368104</v>
      </c>
      <c r="M76" s="35">
        <f t="shared" si="14"/>
        <v>0.89123949463026042</v>
      </c>
      <c r="N76" s="48">
        <f t="shared" si="15"/>
        <v>105.34155905907727</v>
      </c>
    </row>
    <row r="77" spans="2:14" x14ac:dyDescent="0.3">
      <c r="B77" s="9">
        <v>42412</v>
      </c>
      <c r="C77" s="24" t="s">
        <v>7</v>
      </c>
      <c r="D77" s="4" t="s">
        <v>11</v>
      </c>
      <c r="E77" s="3" t="s">
        <v>15</v>
      </c>
      <c r="F77" s="5" t="s">
        <v>13</v>
      </c>
      <c r="G77" s="25">
        <v>93</v>
      </c>
      <c r="H77" s="20">
        <f t="shared" si="10"/>
        <v>1</v>
      </c>
      <c r="I77" s="3">
        <f t="shared" si="11"/>
        <v>0</v>
      </c>
      <c r="J77" s="35">
        <f t="shared" si="12"/>
        <v>0</v>
      </c>
      <c r="K77" s="3">
        <v>74</v>
      </c>
      <c r="L77" s="35">
        <f t="shared" si="13"/>
        <v>96.912549716268899</v>
      </c>
      <c r="M77" s="35">
        <f t="shared" si="14"/>
        <v>0.95962803860053547</v>
      </c>
      <c r="N77" s="48">
        <f t="shared" si="15"/>
        <v>102.51380337859705</v>
      </c>
    </row>
    <row r="78" spans="2:14" x14ac:dyDescent="0.3">
      <c r="B78" s="9">
        <v>42413</v>
      </c>
      <c r="C78" s="24" t="s">
        <v>8</v>
      </c>
      <c r="D78" s="4" t="s">
        <v>11</v>
      </c>
      <c r="E78" s="3" t="s">
        <v>12</v>
      </c>
      <c r="F78" s="5" t="s">
        <v>13</v>
      </c>
      <c r="G78" s="25">
        <v>78</v>
      </c>
      <c r="H78" s="20">
        <f t="shared" si="10"/>
        <v>1</v>
      </c>
      <c r="I78" s="3">
        <f t="shared" si="11"/>
        <v>0</v>
      </c>
      <c r="J78" s="35">
        <f t="shared" si="12"/>
        <v>0</v>
      </c>
      <c r="K78" s="3">
        <v>75</v>
      </c>
      <c r="L78" s="35">
        <f t="shared" si="13"/>
        <v>97.330273386169679</v>
      </c>
      <c r="M78" s="35">
        <f t="shared" si="14"/>
        <v>0.80139505712190418</v>
      </c>
      <c r="N78" s="48">
        <f t="shared" si="15"/>
        <v>86.590289250434424</v>
      </c>
    </row>
    <row r="79" spans="2:14" x14ac:dyDescent="0.3">
      <c r="B79" s="9">
        <v>42414</v>
      </c>
      <c r="C79" s="24" t="s">
        <v>9</v>
      </c>
      <c r="D79" s="4" t="s">
        <v>11</v>
      </c>
      <c r="E79" s="3" t="s">
        <v>12</v>
      </c>
      <c r="F79" s="5" t="s">
        <v>30</v>
      </c>
      <c r="G79" s="25">
        <v>53</v>
      </c>
      <c r="H79" s="20">
        <f t="shared" si="10"/>
        <v>1</v>
      </c>
      <c r="I79" s="3">
        <f t="shared" si="11"/>
        <v>0</v>
      </c>
      <c r="J79" s="35">
        <f t="shared" si="12"/>
        <v>1</v>
      </c>
      <c r="K79" s="3">
        <v>76</v>
      </c>
      <c r="L79" s="35">
        <f t="shared" si="13"/>
        <v>76.658181125151572</v>
      </c>
      <c r="M79" s="35">
        <f t="shared" si="14"/>
        <v>0.69138087053582187</v>
      </c>
      <c r="N79" s="48">
        <f t="shared" si="15"/>
        <v>60.34305069595208</v>
      </c>
    </row>
    <row r="80" spans="2:14" x14ac:dyDescent="0.3">
      <c r="B80" s="9">
        <v>42415</v>
      </c>
      <c r="C80" s="24" t="s">
        <v>10</v>
      </c>
      <c r="D80" s="4" t="s">
        <v>11</v>
      </c>
      <c r="E80" s="3" t="s">
        <v>15</v>
      </c>
      <c r="F80" s="5" t="s">
        <v>30</v>
      </c>
      <c r="G80" s="25">
        <v>72</v>
      </c>
      <c r="H80" s="20">
        <f t="shared" si="10"/>
        <v>1</v>
      </c>
      <c r="I80" s="3">
        <f t="shared" si="11"/>
        <v>0</v>
      </c>
      <c r="J80" s="35">
        <f t="shared" si="12"/>
        <v>1</v>
      </c>
      <c r="K80" s="3">
        <v>77</v>
      </c>
      <c r="L80" s="35">
        <f t="shared" si="13"/>
        <v>77.075904795052367</v>
      </c>
      <c r="M80" s="35">
        <f t="shared" si="14"/>
        <v>0.93414407773026631</v>
      </c>
      <c r="N80" s="48">
        <f t="shared" si="15"/>
        <v>75.823633912590452</v>
      </c>
    </row>
    <row r="81" spans="2:14" x14ac:dyDescent="0.3">
      <c r="B81" s="9">
        <v>42416</v>
      </c>
      <c r="C81" s="24" t="s">
        <v>4</v>
      </c>
      <c r="D81" s="4" t="s">
        <v>11</v>
      </c>
      <c r="E81" s="3" t="s">
        <v>29</v>
      </c>
      <c r="F81" s="5" t="s">
        <v>13</v>
      </c>
      <c r="G81" s="25">
        <v>104</v>
      </c>
      <c r="H81" s="20">
        <f t="shared" si="10"/>
        <v>1</v>
      </c>
      <c r="I81" s="3">
        <f t="shared" si="11"/>
        <v>0</v>
      </c>
      <c r="J81" s="35">
        <f t="shared" si="12"/>
        <v>0</v>
      </c>
      <c r="K81" s="3">
        <v>78</v>
      </c>
      <c r="L81" s="35">
        <f t="shared" si="13"/>
        <v>98.583444395872021</v>
      </c>
      <c r="M81" s="35">
        <f t="shared" si="14"/>
        <v>1.0549438664607542</v>
      </c>
      <c r="N81" s="48">
        <f t="shared" si="15"/>
        <v>107.39861594082556</v>
      </c>
    </row>
    <row r="82" spans="2:14" x14ac:dyDescent="0.3">
      <c r="B82" s="9">
        <v>42417</v>
      </c>
      <c r="C82" s="24" t="s">
        <v>5</v>
      </c>
      <c r="D82" s="4" t="s">
        <v>11</v>
      </c>
      <c r="E82" s="3" t="s">
        <v>15</v>
      </c>
      <c r="F82" s="5" t="s">
        <v>13</v>
      </c>
      <c r="G82" s="25">
        <v>95</v>
      </c>
      <c r="H82" s="20">
        <f t="shared" si="10"/>
        <v>1</v>
      </c>
      <c r="I82" s="3">
        <f t="shared" si="11"/>
        <v>0</v>
      </c>
      <c r="J82" s="35">
        <f t="shared" si="12"/>
        <v>0</v>
      </c>
      <c r="K82" s="3">
        <v>79</v>
      </c>
      <c r="L82" s="35">
        <f t="shared" si="13"/>
        <v>99.001168065772816</v>
      </c>
      <c r="M82" s="35">
        <f t="shared" si="14"/>
        <v>0.9595846377982673</v>
      </c>
      <c r="N82" s="48">
        <f t="shared" si="15"/>
        <v>110.33863684529165</v>
      </c>
    </row>
    <row r="83" spans="2:14" x14ac:dyDescent="0.3">
      <c r="B83" s="9">
        <v>42418</v>
      </c>
      <c r="C83" s="24" t="s">
        <v>6</v>
      </c>
      <c r="D83" s="4" t="s">
        <v>11</v>
      </c>
      <c r="E83" s="3" t="s">
        <v>12</v>
      </c>
      <c r="F83" s="5" t="s">
        <v>13</v>
      </c>
      <c r="G83" s="25">
        <v>96</v>
      </c>
      <c r="H83" s="20">
        <f t="shared" si="10"/>
        <v>1</v>
      </c>
      <c r="I83" s="3">
        <f t="shared" si="11"/>
        <v>0</v>
      </c>
      <c r="J83" s="35">
        <f t="shared" si="12"/>
        <v>0</v>
      </c>
      <c r="K83" s="3">
        <v>80</v>
      </c>
      <c r="L83" s="35">
        <f t="shared" si="13"/>
        <v>99.418891735673597</v>
      </c>
      <c r="M83" s="35">
        <f t="shared" si="14"/>
        <v>0.96561124675616528</v>
      </c>
      <c r="N83" s="48">
        <f t="shared" si="15"/>
        <v>108.53370573805654</v>
      </c>
    </row>
    <row r="84" spans="2:14" x14ac:dyDescent="0.3">
      <c r="B84" s="9">
        <v>42419</v>
      </c>
      <c r="C84" s="24" t="s">
        <v>7</v>
      </c>
      <c r="D84" s="4" t="s">
        <v>11</v>
      </c>
      <c r="E84" s="3" t="s">
        <v>12</v>
      </c>
      <c r="F84" s="5" t="s">
        <v>13</v>
      </c>
      <c r="G84" s="25">
        <v>91</v>
      </c>
      <c r="H84" s="20">
        <f t="shared" si="10"/>
        <v>1</v>
      </c>
      <c r="I84" s="3">
        <f t="shared" si="11"/>
        <v>0</v>
      </c>
      <c r="J84" s="35">
        <f t="shared" si="12"/>
        <v>0</v>
      </c>
      <c r="K84" s="3">
        <v>81</v>
      </c>
      <c r="L84" s="35">
        <f t="shared" si="13"/>
        <v>99.836615405574378</v>
      </c>
      <c r="M84" s="35">
        <f t="shared" si="14"/>
        <v>0.91148923298654827</v>
      </c>
      <c r="N84" s="48">
        <f t="shared" si="15"/>
        <v>105.60687126317096</v>
      </c>
    </row>
    <row r="85" spans="2:14" x14ac:dyDescent="0.3">
      <c r="B85" s="9">
        <v>42420</v>
      </c>
      <c r="C85" s="24" t="s">
        <v>8</v>
      </c>
      <c r="D85" s="4" t="s">
        <v>14</v>
      </c>
      <c r="E85" s="3" t="s">
        <v>12</v>
      </c>
      <c r="F85" s="5" t="s">
        <v>13</v>
      </c>
      <c r="G85" s="25">
        <v>70</v>
      </c>
      <c r="H85" s="20">
        <f t="shared" si="10"/>
        <v>0</v>
      </c>
      <c r="I85" s="3">
        <f t="shared" si="11"/>
        <v>0</v>
      </c>
      <c r="J85" s="35">
        <f t="shared" si="12"/>
        <v>0</v>
      </c>
      <c r="K85" s="3">
        <v>82</v>
      </c>
      <c r="L85" s="35">
        <f t="shared" si="13"/>
        <v>88.583776654065815</v>
      </c>
      <c r="M85" s="35">
        <f t="shared" si="14"/>
        <v>0.79021241410107734</v>
      </c>
      <c r="N85" s="48">
        <f t="shared" si="15"/>
        <v>78.80893145072983</v>
      </c>
    </row>
    <row r="86" spans="2:14" x14ac:dyDescent="0.3">
      <c r="B86" s="9">
        <v>42421</v>
      </c>
      <c r="C86" s="24" t="s">
        <v>9</v>
      </c>
      <c r="D86" s="4" t="s">
        <v>14</v>
      </c>
      <c r="E86" s="3" t="s">
        <v>15</v>
      </c>
      <c r="F86" s="5" t="s">
        <v>13</v>
      </c>
      <c r="G86" s="25">
        <v>59</v>
      </c>
      <c r="H86" s="20">
        <f t="shared" si="10"/>
        <v>0</v>
      </c>
      <c r="I86" s="3">
        <f t="shared" si="11"/>
        <v>0</v>
      </c>
      <c r="J86" s="35">
        <f t="shared" si="12"/>
        <v>0</v>
      </c>
      <c r="K86" s="3">
        <v>83</v>
      </c>
      <c r="L86" s="35">
        <f t="shared" si="13"/>
        <v>89.001500323966596</v>
      </c>
      <c r="M86" s="35">
        <f t="shared" si="14"/>
        <v>0.66291017325819501</v>
      </c>
      <c r="N86" s="48">
        <f t="shared" si="15"/>
        <v>70.059346142023315</v>
      </c>
    </row>
    <row r="87" spans="2:14" x14ac:dyDescent="0.3">
      <c r="B87" s="9">
        <v>42422</v>
      </c>
      <c r="C87" s="24" t="s">
        <v>10</v>
      </c>
      <c r="D87" s="4" t="s">
        <v>14</v>
      </c>
      <c r="E87" s="3" t="s">
        <v>12</v>
      </c>
      <c r="F87" s="5" t="s">
        <v>13</v>
      </c>
      <c r="G87" s="25">
        <v>86</v>
      </c>
      <c r="H87" s="20">
        <f t="shared" si="10"/>
        <v>0</v>
      </c>
      <c r="I87" s="3">
        <f t="shared" si="11"/>
        <v>0</v>
      </c>
      <c r="J87" s="35">
        <f t="shared" si="12"/>
        <v>0</v>
      </c>
      <c r="K87" s="3">
        <v>84</v>
      </c>
      <c r="L87" s="35">
        <f t="shared" si="13"/>
        <v>89.419223993867377</v>
      </c>
      <c r="M87" s="35">
        <f t="shared" si="14"/>
        <v>0.96176186907971961</v>
      </c>
      <c r="N87" s="48">
        <f t="shared" si="15"/>
        <v>87.966408216516328</v>
      </c>
    </row>
    <row r="88" spans="2:14" x14ac:dyDescent="0.3">
      <c r="B88" s="9">
        <v>42423</v>
      </c>
      <c r="C88" s="24" t="s">
        <v>4</v>
      </c>
      <c r="D88" s="4" t="s">
        <v>11</v>
      </c>
      <c r="E88" s="3" t="s">
        <v>15</v>
      </c>
      <c r="F88" s="5" t="s">
        <v>13</v>
      </c>
      <c r="G88" s="25">
        <v>92</v>
      </c>
      <c r="H88" s="20">
        <f t="shared" si="10"/>
        <v>1</v>
      </c>
      <c r="I88" s="3">
        <f t="shared" si="11"/>
        <v>0</v>
      </c>
      <c r="J88" s="35">
        <f t="shared" si="12"/>
        <v>0</v>
      </c>
      <c r="K88" s="3">
        <v>85</v>
      </c>
      <c r="L88" s="35">
        <f t="shared" si="13"/>
        <v>101.50751008517753</v>
      </c>
      <c r="M88" s="35">
        <f t="shared" si="14"/>
        <v>0.906336880126411</v>
      </c>
      <c r="N88" s="48">
        <f t="shared" si="15"/>
        <v>110.58414683676794</v>
      </c>
    </row>
    <row r="89" spans="2:14" x14ac:dyDescent="0.3">
      <c r="B89" s="9">
        <v>42424</v>
      </c>
      <c r="C89" s="24" t="s">
        <v>5</v>
      </c>
      <c r="D89" s="4" t="s">
        <v>11</v>
      </c>
      <c r="E89" s="3" t="s">
        <v>29</v>
      </c>
      <c r="F89" s="5" t="s">
        <v>13</v>
      </c>
      <c r="G89" s="25">
        <v>123</v>
      </c>
      <c r="H89" s="20">
        <f t="shared" si="10"/>
        <v>1</v>
      </c>
      <c r="I89" s="3">
        <f t="shared" si="11"/>
        <v>0</v>
      </c>
      <c r="J89" s="35">
        <f t="shared" si="12"/>
        <v>0</v>
      </c>
      <c r="K89" s="3">
        <v>86</v>
      </c>
      <c r="L89" s="35">
        <f t="shared" si="13"/>
        <v>101.92523375507831</v>
      </c>
      <c r="M89" s="35">
        <f t="shared" si="14"/>
        <v>1.2067669159882761</v>
      </c>
      <c r="N89" s="48">
        <f t="shared" si="15"/>
        <v>113.59756225503739</v>
      </c>
    </row>
    <row r="90" spans="2:14" x14ac:dyDescent="0.3">
      <c r="B90" s="9">
        <v>42425</v>
      </c>
      <c r="C90" s="24" t="s">
        <v>6</v>
      </c>
      <c r="D90" s="4" t="s">
        <v>14</v>
      </c>
      <c r="E90" s="3" t="s">
        <v>15</v>
      </c>
      <c r="F90" s="5" t="s">
        <v>13</v>
      </c>
      <c r="G90" s="25">
        <v>85</v>
      </c>
      <c r="H90" s="20">
        <f t="shared" si="10"/>
        <v>0</v>
      </c>
      <c r="I90" s="3">
        <f t="shared" si="11"/>
        <v>0</v>
      </c>
      <c r="J90" s="35">
        <f t="shared" si="12"/>
        <v>0</v>
      </c>
      <c r="K90" s="3">
        <v>87</v>
      </c>
      <c r="L90" s="35">
        <f t="shared" si="13"/>
        <v>90.672395003569733</v>
      </c>
      <c r="M90" s="35">
        <f t="shared" si="14"/>
        <v>0.9374407723172371</v>
      </c>
      <c r="N90" s="48">
        <f t="shared" si="15"/>
        <v>98.98532226698623</v>
      </c>
    </row>
    <row r="91" spans="2:14" x14ac:dyDescent="0.3">
      <c r="B91" s="9">
        <v>42426</v>
      </c>
      <c r="C91" s="24" t="s">
        <v>7</v>
      </c>
      <c r="D91" s="4" t="s">
        <v>11</v>
      </c>
      <c r="E91" s="3" t="s">
        <v>12</v>
      </c>
      <c r="F91" s="5" t="s">
        <v>13</v>
      </c>
      <c r="G91" s="25">
        <v>87</v>
      </c>
      <c r="H91" s="20">
        <f t="shared" si="10"/>
        <v>1</v>
      </c>
      <c r="I91" s="3">
        <f t="shared" si="11"/>
        <v>0</v>
      </c>
      <c r="J91" s="35">
        <f t="shared" si="12"/>
        <v>0</v>
      </c>
      <c r="K91" s="3">
        <v>88</v>
      </c>
      <c r="L91" s="35">
        <f t="shared" si="13"/>
        <v>102.76068109487989</v>
      </c>
      <c r="M91" s="35">
        <f t="shared" si="14"/>
        <v>0.84662731964254012</v>
      </c>
      <c r="N91" s="48">
        <f t="shared" si="15"/>
        <v>108.6999391477449</v>
      </c>
    </row>
    <row r="92" spans="2:14" x14ac:dyDescent="0.3">
      <c r="B92" s="9">
        <v>42427</v>
      </c>
      <c r="C92" s="24" t="s">
        <v>8</v>
      </c>
      <c r="D92" s="4" t="s">
        <v>11</v>
      </c>
      <c r="E92" s="3" t="s">
        <v>15</v>
      </c>
      <c r="F92" s="5" t="s">
        <v>13</v>
      </c>
      <c r="G92" s="25">
        <v>82</v>
      </c>
      <c r="H92" s="20">
        <f t="shared" si="10"/>
        <v>1</v>
      </c>
      <c r="I92" s="3">
        <f t="shared" si="11"/>
        <v>0</v>
      </c>
      <c r="J92" s="35">
        <f t="shared" si="12"/>
        <v>0</v>
      </c>
      <c r="K92" s="3">
        <v>89</v>
      </c>
      <c r="L92" s="35">
        <f t="shared" si="13"/>
        <v>103.17840476478065</v>
      </c>
      <c r="M92" s="35">
        <f t="shared" si="14"/>
        <v>0.79473994763669986</v>
      </c>
      <c r="N92" s="48">
        <f t="shared" si="15"/>
        <v>91.793104058518821</v>
      </c>
    </row>
    <row r="93" spans="2:14" x14ac:dyDescent="0.3">
      <c r="B93" s="9">
        <v>42428</v>
      </c>
      <c r="C93" s="24" t="s">
        <v>9</v>
      </c>
      <c r="D93" s="4" t="s">
        <v>11</v>
      </c>
      <c r="E93" s="3" t="s">
        <v>15</v>
      </c>
      <c r="F93" s="5" t="s">
        <v>13</v>
      </c>
      <c r="G93" s="25">
        <v>71</v>
      </c>
      <c r="H93" s="20">
        <f t="shared" si="10"/>
        <v>1</v>
      </c>
      <c r="I93" s="3">
        <f t="shared" si="11"/>
        <v>0</v>
      </c>
      <c r="J93" s="35">
        <f t="shared" si="12"/>
        <v>0</v>
      </c>
      <c r="K93" s="3">
        <v>90</v>
      </c>
      <c r="L93" s="35">
        <f t="shared" si="13"/>
        <v>103.59612843468145</v>
      </c>
      <c r="M93" s="35">
        <f t="shared" si="14"/>
        <v>0.68535379722000245</v>
      </c>
      <c r="N93" s="48">
        <f t="shared" si="15"/>
        <v>81.54780531294513</v>
      </c>
    </row>
    <row r="94" spans="2:14" x14ac:dyDescent="0.3">
      <c r="B94" s="9">
        <v>42429</v>
      </c>
      <c r="C94" s="24" t="s">
        <v>10</v>
      </c>
      <c r="D94" s="4" t="s">
        <v>14</v>
      </c>
      <c r="E94" s="3" t="s">
        <v>15</v>
      </c>
      <c r="F94" s="5" t="s">
        <v>13</v>
      </c>
      <c r="G94" s="25">
        <v>81</v>
      </c>
      <c r="H94" s="20">
        <f t="shared" si="10"/>
        <v>0</v>
      </c>
      <c r="I94" s="3">
        <f t="shared" si="11"/>
        <v>0</v>
      </c>
      <c r="J94" s="35">
        <f t="shared" si="12"/>
        <v>0</v>
      </c>
      <c r="K94" s="3">
        <v>91</v>
      </c>
      <c r="L94" s="35">
        <f t="shared" si="13"/>
        <v>92.343289683172884</v>
      </c>
      <c r="M94" s="35">
        <f t="shared" si="14"/>
        <v>0.87716173289806576</v>
      </c>
      <c r="N94" s="48">
        <f t="shared" si="15"/>
        <v>90.842965902758365</v>
      </c>
    </row>
    <row r="95" spans="2:14" x14ac:dyDescent="0.3">
      <c r="B95" s="9">
        <v>42430</v>
      </c>
      <c r="C95" s="24" t="s">
        <v>4</v>
      </c>
      <c r="D95" s="4" t="s">
        <v>11</v>
      </c>
      <c r="E95" s="3" t="s">
        <v>12</v>
      </c>
      <c r="F95" s="5" t="s">
        <v>13</v>
      </c>
      <c r="G95" s="25">
        <v>247</v>
      </c>
      <c r="H95" s="20">
        <f t="shared" si="10"/>
        <v>1</v>
      </c>
      <c r="I95" s="3">
        <f t="shared" si="11"/>
        <v>0</v>
      </c>
      <c r="J95" s="35">
        <f t="shared" si="12"/>
        <v>0</v>
      </c>
      <c r="K95" s="3">
        <v>92</v>
      </c>
      <c r="L95" s="35">
        <f t="shared" si="13"/>
        <v>104.43157577448301</v>
      </c>
      <c r="M95" s="35">
        <f t="shared" si="14"/>
        <v>2.3651850330535029</v>
      </c>
      <c r="N95" s="48">
        <f t="shared" si="15"/>
        <v>113.76967773271029</v>
      </c>
    </row>
    <row r="96" spans="2:14" x14ac:dyDescent="0.3">
      <c r="B96" s="9">
        <v>42431</v>
      </c>
      <c r="C96" s="24" t="s">
        <v>5</v>
      </c>
      <c r="D96" s="4" t="s">
        <v>14</v>
      </c>
      <c r="E96" s="3" t="s">
        <v>15</v>
      </c>
      <c r="F96" s="5" t="s">
        <v>13</v>
      </c>
      <c r="G96" s="25">
        <v>110</v>
      </c>
      <c r="H96" s="20">
        <f t="shared" si="10"/>
        <v>0</v>
      </c>
      <c r="I96" s="3">
        <f t="shared" si="11"/>
        <v>0</v>
      </c>
      <c r="J96" s="35">
        <f t="shared" si="12"/>
        <v>0</v>
      </c>
      <c r="K96" s="3">
        <v>93</v>
      </c>
      <c r="L96" s="35">
        <f t="shared" si="13"/>
        <v>93.178737022974445</v>
      </c>
      <c r="M96" s="35">
        <f t="shared" si="14"/>
        <v>1.1805268402905917</v>
      </c>
      <c r="N96" s="48">
        <f t="shared" si="15"/>
        <v>103.84942952643183</v>
      </c>
    </row>
    <row r="97" spans="2:14" x14ac:dyDescent="0.3">
      <c r="B97" s="9">
        <v>42432</v>
      </c>
      <c r="C97" s="24" t="s">
        <v>6</v>
      </c>
      <c r="D97" s="4" t="s">
        <v>11</v>
      </c>
      <c r="E97" s="3" t="s">
        <v>15</v>
      </c>
      <c r="F97" s="5" t="s">
        <v>13</v>
      </c>
      <c r="G97" s="25">
        <v>194</v>
      </c>
      <c r="H97" s="20">
        <f t="shared" si="10"/>
        <v>1</v>
      </c>
      <c r="I97" s="3">
        <f t="shared" si="11"/>
        <v>0</v>
      </c>
      <c r="J97" s="35">
        <f t="shared" si="12"/>
        <v>0</v>
      </c>
      <c r="K97" s="3">
        <v>94</v>
      </c>
      <c r="L97" s="35">
        <f t="shared" si="13"/>
        <v>105.26702311428458</v>
      </c>
      <c r="M97" s="35">
        <f t="shared" si="14"/>
        <v>1.8429323282884256</v>
      </c>
      <c r="N97" s="48">
        <f t="shared" si="15"/>
        <v>114.91799909601507</v>
      </c>
    </row>
    <row r="98" spans="2:14" x14ac:dyDescent="0.3">
      <c r="B98" s="9">
        <v>42433</v>
      </c>
      <c r="C98" s="24" t="s">
        <v>7</v>
      </c>
      <c r="D98" s="4" t="s">
        <v>11</v>
      </c>
      <c r="E98" s="3" t="s">
        <v>16</v>
      </c>
      <c r="F98" s="5" t="s">
        <v>13</v>
      </c>
      <c r="G98" s="25">
        <v>233</v>
      </c>
      <c r="H98" s="20">
        <f t="shared" si="10"/>
        <v>1</v>
      </c>
      <c r="I98" s="3">
        <f t="shared" si="11"/>
        <v>0</v>
      </c>
      <c r="J98" s="35">
        <f t="shared" si="12"/>
        <v>0</v>
      </c>
      <c r="K98" s="3">
        <v>95</v>
      </c>
      <c r="L98" s="35">
        <f t="shared" si="13"/>
        <v>105.68474678418536</v>
      </c>
      <c r="M98" s="35">
        <f t="shared" si="14"/>
        <v>2.20467008806673</v>
      </c>
      <c r="N98" s="48">
        <f t="shared" si="15"/>
        <v>111.79300703231881</v>
      </c>
    </row>
    <row r="99" spans="2:14" x14ac:dyDescent="0.3">
      <c r="B99" s="9">
        <v>42434</v>
      </c>
      <c r="C99" s="24" t="s">
        <v>8</v>
      </c>
      <c r="D99" s="4" t="s">
        <v>11</v>
      </c>
      <c r="E99" s="3" t="s">
        <v>12</v>
      </c>
      <c r="F99" s="5" t="s">
        <v>13</v>
      </c>
      <c r="G99" s="25">
        <v>211</v>
      </c>
      <c r="H99" s="20">
        <f t="shared" si="10"/>
        <v>1</v>
      </c>
      <c r="I99" s="3">
        <f t="shared" si="11"/>
        <v>0</v>
      </c>
      <c r="J99" s="35">
        <f t="shared" si="12"/>
        <v>0</v>
      </c>
      <c r="K99" s="3">
        <v>96</v>
      </c>
      <c r="L99" s="35">
        <f t="shared" si="13"/>
        <v>106.10247045408616</v>
      </c>
      <c r="M99" s="35">
        <f t="shared" si="14"/>
        <v>1.9886436111900549</v>
      </c>
      <c r="N99" s="48">
        <f t="shared" si="15"/>
        <v>94.394511462561042</v>
      </c>
    </row>
    <row r="100" spans="2:14" x14ac:dyDescent="0.3">
      <c r="B100" s="9">
        <v>42435</v>
      </c>
      <c r="C100" s="24" t="s">
        <v>9</v>
      </c>
      <c r="D100" s="4" t="s">
        <v>11</v>
      </c>
      <c r="E100" s="3" t="s">
        <v>12</v>
      </c>
      <c r="F100" s="5" t="s">
        <v>13</v>
      </c>
      <c r="G100" s="25">
        <v>192</v>
      </c>
      <c r="H100" s="20">
        <f t="shared" ref="H100:H138" si="16">IF(D100=H$3,1,0)</f>
        <v>1</v>
      </c>
      <c r="I100" s="3">
        <f t="shared" ref="I100:I138" si="17">IF(D100=I$3,1,0)</f>
        <v>0</v>
      </c>
      <c r="J100" s="35">
        <f t="shared" ref="J100:J138" si="18">IF(F100="Yes",1,0)</f>
        <v>0</v>
      </c>
      <c r="K100" s="3">
        <v>97</v>
      </c>
      <c r="L100" s="35">
        <f t="shared" ref="L100:L138" si="19">$S$20+$S$21*H100+$S$22*I100+$S$23*J100+$S$24*K100</f>
        <v>106.52019412398694</v>
      </c>
      <c r="M100" s="35">
        <f t="shared" si="14"/>
        <v>1.802475122947266</v>
      </c>
      <c r="N100" s="48">
        <f t="shared" si="15"/>
        <v>83.849543255826788</v>
      </c>
    </row>
    <row r="101" spans="2:14" x14ac:dyDescent="0.3">
      <c r="B101" s="9">
        <v>42436</v>
      </c>
      <c r="C101" s="24" t="s">
        <v>10</v>
      </c>
      <c r="D101" s="4" t="s">
        <v>14</v>
      </c>
      <c r="E101" s="3" t="s">
        <v>15</v>
      </c>
      <c r="F101" s="5" t="s">
        <v>13</v>
      </c>
      <c r="G101" s="25">
        <v>104</v>
      </c>
      <c r="H101" s="20">
        <f t="shared" si="16"/>
        <v>0</v>
      </c>
      <c r="I101" s="3">
        <f t="shared" si="17"/>
        <v>0</v>
      </c>
      <c r="J101" s="35">
        <f t="shared" si="18"/>
        <v>0</v>
      </c>
      <c r="K101" s="3">
        <v>98</v>
      </c>
      <c r="L101" s="35">
        <f t="shared" si="19"/>
        <v>95.267355372478363</v>
      </c>
      <c r="M101" s="35">
        <f t="shared" si="14"/>
        <v>1.0916646063426296</v>
      </c>
      <c r="N101" s="48">
        <f t="shared" si="15"/>
        <v>93.719523589000374</v>
      </c>
    </row>
    <row r="102" spans="2:14" x14ac:dyDescent="0.3">
      <c r="B102" s="9">
        <v>42437</v>
      </c>
      <c r="C102" s="24" t="s">
        <v>4</v>
      </c>
      <c r="D102" s="4" t="s">
        <v>26</v>
      </c>
      <c r="E102" s="3" t="s">
        <v>15</v>
      </c>
      <c r="F102" s="5" t="s">
        <v>13</v>
      </c>
      <c r="G102" s="25">
        <v>115</v>
      </c>
      <c r="H102" s="20">
        <f t="shared" si="16"/>
        <v>0</v>
      </c>
      <c r="I102" s="3">
        <f t="shared" si="17"/>
        <v>0</v>
      </c>
      <c r="J102" s="35">
        <f t="shared" si="18"/>
        <v>0</v>
      </c>
      <c r="K102" s="3">
        <v>99</v>
      </c>
      <c r="L102" s="35">
        <f t="shared" si="19"/>
        <v>95.685079042379158</v>
      </c>
      <c r="M102" s="35">
        <f t="shared" si="14"/>
        <v>1.2018592778615589</v>
      </c>
      <c r="N102" s="48">
        <f t="shared" si="15"/>
        <v>104.241083462999</v>
      </c>
    </row>
    <row r="103" spans="2:14" x14ac:dyDescent="0.3">
      <c r="B103" s="9">
        <v>42438</v>
      </c>
      <c r="C103" s="24" t="s">
        <v>5</v>
      </c>
      <c r="D103" s="4" t="s">
        <v>26</v>
      </c>
      <c r="E103" s="3" t="s">
        <v>12</v>
      </c>
      <c r="F103" s="5" t="s">
        <v>13</v>
      </c>
      <c r="G103" s="25">
        <v>144</v>
      </c>
      <c r="H103" s="20">
        <f t="shared" si="16"/>
        <v>0</v>
      </c>
      <c r="I103" s="3">
        <f t="shared" si="17"/>
        <v>0</v>
      </c>
      <c r="J103" s="35">
        <f t="shared" si="18"/>
        <v>0</v>
      </c>
      <c r="K103" s="3">
        <v>100</v>
      </c>
      <c r="L103" s="35">
        <f t="shared" si="19"/>
        <v>96.102802712279939</v>
      </c>
      <c r="M103" s="35">
        <f t="shared" si="14"/>
        <v>1.4983954258973948</v>
      </c>
      <c r="N103" s="48">
        <f t="shared" si="15"/>
        <v>107.10835493617759</v>
      </c>
    </row>
    <row r="104" spans="2:14" x14ac:dyDescent="0.3">
      <c r="B104" s="9">
        <v>42439</v>
      </c>
      <c r="C104" s="24" t="s">
        <v>6</v>
      </c>
      <c r="D104" s="4" t="s">
        <v>31</v>
      </c>
      <c r="E104" s="3" t="s">
        <v>15</v>
      </c>
      <c r="F104" s="5" t="s">
        <v>13</v>
      </c>
      <c r="G104" s="25">
        <v>46</v>
      </c>
      <c r="H104" s="20">
        <f t="shared" si="16"/>
        <v>0</v>
      </c>
      <c r="I104" s="3">
        <f t="shared" si="17"/>
        <v>1</v>
      </c>
      <c r="J104" s="35">
        <f t="shared" si="18"/>
        <v>0</v>
      </c>
      <c r="K104" s="3">
        <v>101</v>
      </c>
      <c r="L104" s="35">
        <f t="shared" si="19"/>
        <v>41.012627398088746</v>
      </c>
      <c r="M104" s="35">
        <f t="shared" si="14"/>
        <v>1.1216057813975526</v>
      </c>
      <c r="N104" s="48">
        <f t="shared" si="15"/>
        <v>44.772702208382356</v>
      </c>
    </row>
    <row r="105" spans="2:14" x14ac:dyDescent="0.3">
      <c r="B105" s="9">
        <v>42440</v>
      </c>
      <c r="C105" s="24" t="s">
        <v>7</v>
      </c>
      <c r="D105" s="4" t="s">
        <v>14</v>
      </c>
      <c r="E105" s="3" t="s">
        <v>15</v>
      </c>
      <c r="F105" s="5" t="s">
        <v>13</v>
      </c>
      <c r="G105" s="25">
        <v>91</v>
      </c>
      <c r="H105" s="20">
        <f t="shared" si="16"/>
        <v>0</v>
      </c>
      <c r="I105" s="3">
        <f t="shared" si="17"/>
        <v>0</v>
      </c>
      <c r="J105" s="35">
        <f t="shared" si="18"/>
        <v>0</v>
      </c>
      <c r="K105" s="3">
        <v>102</v>
      </c>
      <c r="L105" s="35">
        <f t="shared" si="19"/>
        <v>96.938250052081514</v>
      </c>
      <c r="M105" s="35">
        <f t="shared" si="14"/>
        <v>0.93874193057032596</v>
      </c>
      <c r="N105" s="48">
        <f t="shared" si="15"/>
        <v>102.54098911646044</v>
      </c>
    </row>
    <row r="106" spans="2:14" x14ac:dyDescent="0.3">
      <c r="B106" s="9">
        <v>42441</v>
      </c>
      <c r="C106" s="24" t="s">
        <v>8</v>
      </c>
      <c r="D106" s="4" t="s">
        <v>26</v>
      </c>
      <c r="E106" s="3" t="s">
        <v>15</v>
      </c>
      <c r="F106" s="5" t="s">
        <v>13</v>
      </c>
      <c r="G106" s="25">
        <v>60</v>
      </c>
      <c r="H106" s="20">
        <f t="shared" si="16"/>
        <v>0</v>
      </c>
      <c r="I106" s="3">
        <f t="shared" si="17"/>
        <v>0</v>
      </c>
      <c r="J106" s="35">
        <f t="shared" si="18"/>
        <v>0</v>
      </c>
      <c r="K106" s="3">
        <v>103</v>
      </c>
      <c r="L106" s="35">
        <f t="shared" si="19"/>
        <v>97.355973721982295</v>
      </c>
      <c r="M106" s="35">
        <f t="shared" si="14"/>
        <v>0.6162950017976393</v>
      </c>
      <c r="N106" s="48">
        <f t="shared" si="15"/>
        <v>86.613153662856433</v>
      </c>
    </row>
    <row r="107" spans="2:14" x14ac:dyDescent="0.3">
      <c r="B107" s="9">
        <v>42442</v>
      </c>
      <c r="C107" s="24" t="s">
        <v>9</v>
      </c>
      <c r="D107" s="4" t="s">
        <v>26</v>
      </c>
      <c r="E107" s="3" t="s">
        <v>12</v>
      </c>
      <c r="F107" s="5" t="s">
        <v>13</v>
      </c>
      <c r="G107" s="25">
        <v>52</v>
      </c>
      <c r="H107" s="20">
        <f t="shared" si="16"/>
        <v>0</v>
      </c>
      <c r="I107" s="3">
        <f t="shared" si="17"/>
        <v>0</v>
      </c>
      <c r="J107" s="35">
        <f t="shared" si="18"/>
        <v>0</v>
      </c>
      <c r="K107" s="3">
        <v>104</v>
      </c>
      <c r="L107" s="35">
        <f t="shared" si="19"/>
        <v>97.773697391883076</v>
      </c>
      <c r="M107" s="35">
        <f t="shared" si="14"/>
        <v>0.53184037616559343</v>
      </c>
      <c r="N107" s="48">
        <f t="shared" si="15"/>
        <v>76.964559970668262</v>
      </c>
    </row>
    <row r="108" spans="2:14" x14ac:dyDescent="0.3">
      <c r="B108" s="9">
        <v>42443</v>
      </c>
      <c r="C108" s="24" t="s">
        <v>10</v>
      </c>
      <c r="D108" s="4" t="s">
        <v>11</v>
      </c>
      <c r="E108" s="3" t="s">
        <v>16</v>
      </c>
      <c r="F108" s="5" t="s">
        <v>13</v>
      </c>
      <c r="G108" s="25">
        <v>103</v>
      </c>
      <c r="H108" s="20">
        <f t="shared" si="16"/>
        <v>1</v>
      </c>
      <c r="I108" s="3">
        <f t="shared" si="17"/>
        <v>0</v>
      </c>
      <c r="J108" s="35">
        <f t="shared" si="18"/>
        <v>0</v>
      </c>
      <c r="K108" s="3">
        <v>105</v>
      </c>
      <c r="L108" s="35">
        <f t="shared" si="19"/>
        <v>109.86198348319323</v>
      </c>
      <c r="M108" s="35">
        <f t="shared" si="14"/>
        <v>0.93753996363771297</v>
      </c>
      <c r="N108" s="48">
        <f t="shared" si="15"/>
        <v>108.07702924397493</v>
      </c>
    </row>
    <row r="109" spans="2:14" x14ac:dyDescent="0.3">
      <c r="B109" s="9">
        <v>42444</v>
      </c>
      <c r="C109" s="24" t="s">
        <v>4</v>
      </c>
      <c r="D109" s="4" t="s">
        <v>14</v>
      </c>
      <c r="E109" s="3" t="s">
        <v>16</v>
      </c>
      <c r="F109" s="5" t="s">
        <v>13</v>
      </c>
      <c r="G109" s="25">
        <v>110</v>
      </c>
      <c r="H109" s="20">
        <f t="shared" si="16"/>
        <v>0</v>
      </c>
      <c r="I109" s="3">
        <f t="shared" si="17"/>
        <v>0</v>
      </c>
      <c r="J109" s="35">
        <f t="shared" si="18"/>
        <v>0</v>
      </c>
      <c r="K109" s="3">
        <v>106</v>
      </c>
      <c r="L109" s="35">
        <f t="shared" si="19"/>
        <v>98.609144731684637</v>
      </c>
      <c r="M109" s="35">
        <f t="shared" si="14"/>
        <v>1.1155152019552534</v>
      </c>
      <c r="N109" s="48">
        <f t="shared" si="15"/>
        <v>107.42661435894135</v>
      </c>
    </row>
    <row r="110" spans="2:14" x14ac:dyDescent="0.3">
      <c r="B110" s="9">
        <v>42445</v>
      </c>
      <c r="C110" s="24" t="s">
        <v>5</v>
      </c>
      <c r="D110" s="4" t="s">
        <v>14</v>
      </c>
      <c r="E110" s="3" t="s">
        <v>15</v>
      </c>
      <c r="F110" s="5" t="s">
        <v>13</v>
      </c>
      <c r="G110" s="25">
        <v>100</v>
      </c>
      <c r="H110" s="20">
        <f t="shared" si="16"/>
        <v>0</v>
      </c>
      <c r="I110" s="3">
        <f t="shared" si="17"/>
        <v>0</v>
      </c>
      <c r="J110" s="35">
        <f t="shared" si="18"/>
        <v>0</v>
      </c>
      <c r="K110" s="3">
        <v>107</v>
      </c>
      <c r="L110" s="35">
        <f t="shared" si="19"/>
        <v>99.026868401585432</v>
      </c>
      <c r="M110" s="35">
        <f t="shared" si="14"/>
        <v>1.0098269450919948</v>
      </c>
      <c r="N110" s="48">
        <f t="shared" si="15"/>
        <v>110.36728034592333</v>
      </c>
    </row>
    <row r="111" spans="2:14" x14ac:dyDescent="0.3">
      <c r="B111" s="9">
        <v>42446</v>
      </c>
      <c r="C111" s="24" t="s">
        <v>6</v>
      </c>
      <c r="D111" s="4" t="s">
        <v>14</v>
      </c>
      <c r="E111" s="3" t="s">
        <v>29</v>
      </c>
      <c r="F111" s="5" t="s">
        <v>30</v>
      </c>
      <c r="G111" s="25">
        <v>89</v>
      </c>
      <c r="H111" s="20">
        <f t="shared" si="16"/>
        <v>0</v>
      </c>
      <c r="I111" s="3">
        <f t="shared" si="17"/>
        <v>0</v>
      </c>
      <c r="J111" s="35">
        <f t="shared" si="18"/>
        <v>1</v>
      </c>
      <c r="K111" s="3">
        <v>108</v>
      </c>
      <c r="L111" s="35">
        <f t="shared" si="19"/>
        <v>78.354776140567324</v>
      </c>
      <c r="M111" s="35">
        <f t="shared" si="14"/>
        <v>1.1358592849571199</v>
      </c>
      <c r="N111" s="48">
        <f t="shared" si="15"/>
        <v>85.53841295497125</v>
      </c>
    </row>
    <row r="112" spans="2:14" x14ac:dyDescent="0.3">
      <c r="B112" s="9">
        <v>42447</v>
      </c>
      <c r="C112" s="24" t="s">
        <v>7</v>
      </c>
      <c r="D112" s="4" t="s">
        <v>14</v>
      </c>
      <c r="E112" s="3" t="s">
        <v>15</v>
      </c>
      <c r="F112" s="5" t="s">
        <v>13</v>
      </c>
      <c r="G112" s="25">
        <v>89</v>
      </c>
      <c r="H112" s="20">
        <f t="shared" si="16"/>
        <v>0</v>
      </c>
      <c r="I112" s="3">
        <f t="shared" si="17"/>
        <v>0</v>
      </c>
      <c r="J112" s="35">
        <f t="shared" si="18"/>
        <v>0</v>
      </c>
      <c r="K112" s="3">
        <v>109</v>
      </c>
      <c r="L112" s="35">
        <f t="shared" si="19"/>
        <v>99.862315741386993</v>
      </c>
      <c r="M112" s="35">
        <f t="shared" si="14"/>
        <v>0.89122707939682588</v>
      </c>
      <c r="N112" s="48">
        <f t="shared" si="15"/>
        <v>105.63405700103434</v>
      </c>
    </row>
    <row r="113" spans="2:14" x14ac:dyDescent="0.3">
      <c r="B113" s="9">
        <v>42448</v>
      </c>
      <c r="C113" s="24" t="s">
        <v>8</v>
      </c>
      <c r="D113" s="4" t="s">
        <v>11</v>
      </c>
      <c r="E113" s="3" t="s">
        <v>12</v>
      </c>
      <c r="F113" s="5" t="s">
        <v>13</v>
      </c>
      <c r="G113" s="25">
        <v>81</v>
      </c>
      <c r="H113" s="20">
        <f t="shared" si="16"/>
        <v>1</v>
      </c>
      <c r="I113" s="3">
        <f t="shared" si="17"/>
        <v>0</v>
      </c>
      <c r="J113" s="35">
        <f t="shared" si="18"/>
        <v>0</v>
      </c>
      <c r="K113" s="3">
        <v>110</v>
      </c>
      <c r="L113" s="35">
        <f t="shared" si="19"/>
        <v>111.95060183269715</v>
      </c>
      <c r="M113" s="35">
        <f t="shared" si="14"/>
        <v>0.72353340378687026</v>
      </c>
      <c r="N113" s="48">
        <f t="shared" si="15"/>
        <v>99.597326270645439</v>
      </c>
    </row>
    <row r="114" spans="2:14" x14ac:dyDescent="0.3">
      <c r="B114" s="9">
        <v>42449</v>
      </c>
      <c r="C114" s="24" t="s">
        <v>9</v>
      </c>
      <c r="D114" s="4" t="s">
        <v>11</v>
      </c>
      <c r="E114" s="3" t="s">
        <v>12</v>
      </c>
      <c r="F114" s="5" t="s">
        <v>13</v>
      </c>
      <c r="G114" s="25">
        <v>68</v>
      </c>
      <c r="H114" s="20">
        <f t="shared" si="16"/>
        <v>1</v>
      </c>
      <c r="I114" s="3">
        <f t="shared" si="17"/>
        <v>0</v>
      </c>
      <c r="J114" s="35">
        <f t="shared" si="18"/>
        <v>0</v>
      </c>
      <c r="K114" s="3">
        <v>111</v>
      </c>
      <c r="L114" s="35">
        <f t="shared" si="19"/>
        <v>112.36832550259793</v>
      </c>
      <c r="M114" s="35">
        <f t="shared" si="14"/>
        <v>0.60515273940277647</v>
      </c>
      <c r="N114" s="48">
        <f t="shared" si="15"/>
        <v>88.45301914159009</v>
      </c>
    </row>
    <row r="115" spans="2:14" x14ac:dyDescent="0.3">
      <c r="B115" s="9">
        <v>42450</v>
      </c>
      <c r="C115" s="24" t="s">
        <v>10</v>
      </c>
      <c r="D115" s="4" t="s">
        <v>11</v>
      </c>
      <c r="E115" s="3" t="s">
        <v>16</v>
      </c>
      <c r="F115" s="5" t="s">
        <v>13</v>
      </c>
      <c r="G115" s="25">
        <v>113</v>
      </c>
      <c r="H115" s="20">
        <f t="shared" si="16"/>
        <v>1</v>
      </c>
      <c r="I115" s="3">
        <f t="shared" si="17"/>
        <v>0</v>
      </c>
      <c r="J115" s="35">
        <f t="shared" si="18"/>
        <v>0</v>
      </c>
      <c r="K115" s="3">
        <v>112</v>
      </c>
      <c r="L115" s="35">
        <f t="shared" si="19"/>
        <v>112.78604917249871</v>
      </c>
      <c r="M115" s="35">
        <f t="shared" si="14"/>
        <v>1.0018969618057467</v>
      </c>
      <c r="N115" s="48">
        <f t="shared" si="15"/>
        <v>110.95358693021694</v>
      </c>
    </row>
    <row r="116" spans="2:14" x14ac:dyDescent="0.3">
      <c r="B116" s="9">
        <v>42451</v>
      </c>
      <c r="C116" s="24" t="s">
        <v>4</v>
      </c>
      <c r="D116" s="4" t="s">
        <v>11</v>
      </c>
      <c r="E116" s="3" t="s">
        <v>12</v>
      </c>
      <c r="F116" s="5" t="s">
        <v>13</v>
      </c>
      <c r="G116" s="25">
        <v>103</v>
      </c>
      <c r="H116" s="20">
        <f t="shared" si="16"/>
        <v>1</v>
      </c>
      <c r="I116" s="3">
        <f t="shared" si="17"/>
        <v>0</v>
      </c>
      <c r="J116" s="35">
        <f t="shared" si="18"/>
        <v>0</v>
      </c>
      <c r="K116" s="3">
        <v>113</v>
      </c>
      <c r="L116" s="35">
        <f t="shared" si="19"/>
        <v>113.2037728423995</v>
      </c>
      <c r="M116" s="35">
        <f t="shared" si="14"/>
        <v>0.9098636680898875</v>
      </c>
      <c r="N116" s="48">
        <f t="shared" si="15"/>
        <v>123.32627042053738</v>
      </c>
    </row>
    <row r="117" spans="2:14" x14ac:dyDescent="0.3">
      <c r="B117" s="9">
        <v>42452</v>
      </c>
      <c r="C117" s="24" t="s">
        <v>5</v>
      </c>
      <c r="D117" s="4" t="s">
        <v>14</v>
      </c>
      <c r="E117" s="3" t="s">
        <v>15</v>
      </c>
      <c r="F117" s="5" t="s">
        <v>13</v>
      </c>
      <c r="G117" s="25">
        <v>103</v>
      </c>
      <c r="H117" s="20">
        <f t="shared" si="16"/>
        <v>0</v>
      </c>
      <c r="I117" s="3">
        <f t="shared" si="17"/>
        <v>0</v>
      </c>
      <c r="J117" s="35">
        <f t="shared" si="18"/>
        <v>0</v>
      </c>
      <c r="K117" s="3">
        <v>114</v>
      </c>
      <c r="L117" s="35">
        <f t="shared" si="19"/>
        <v>101.95093409089093</v>
      </c>
      <c r="M117" s="35">
        <f t="shared" si="14"/>
        <v>1.0102899097341651</v>
      </c>
      <c r="N117" s="48">
        <f t="shared" si="15"/>
        <v>113.62620575566908</v>
      </c>
    </row>
    <row r="118" spans="2:14" x14ac:dyDescent="0.3">
      <c r="B118" s="9">
        <v>42453</v>
      </c>
      <c r="C118" s="24" t="s">
        <v>6</v>
      </c>
      <c r="D118" s="4" t="s">
        <v>14</v>
      </c>
      <c r="E118" s="3" t="s">
        <v>15</v>
      </c>
      <c r="F118" s="5" t="s">
        <v>13</v>
      </c>
      <c r="G118" s="25">
        <v>101</v>
      </c>
      <c r="H118" s="20">
        <f t="shared" si="16"/>
        <v>0</v>
      </c>
      <c r="I118" s="3">
        <f t="shared" si="17"/>
        <v>0</v>
      </c>
      <c r="J118" s="35">
        <f t="shared" si="18"/>
        <v>0</v>
      </c>
      <c r="K118" s="3">
        <v>115</v>
      </c>
      <c r="L118" s="35">
        <f t="shared" si="19"/>
        <v>102.36865776079171</v>
      </c>
      <c r="M118" s="35">
        <f t="shared" si="14"/>
        <v>0.98663010934469908</v>
      </c>
      <c r="N118" s="48">
        <f t="shared" si="15"/>
        <v>111.7539089829033</v>
      </c>
    </row>
    <row r="119" spans="2:14" x14ac:dyDescent="0.3">
      <c r="B119" s="9">
        <v>42454</v>
      </c>
      <c r="C119" s="24" t="s">
        <v>7</v>
      </c>
      <c r="D119" s="4" t="s">
        <v>11</v>
      </c>
      <c r="E119" s="3" t="s">
        <v>16</v>
      </c>
      <c r="F119" s="5" t="s">
        <v>30</v>
      </c>
      <c r="G119" s="25">
        <v>97</v>
      </c>
      <c r="H119" s="20">
        <f t="shared" si="16"/>
        <v>1</v>
      </c>
      <c r="I119" s="3">
        <f t="shared" si="17"/>
        <v>0</v>
      </c>
      <c r="J119" s="35">
        <f t="shared" si="18"/>
        <v>1</v>
      </c>
      <c r="K119" s="3">
        <v>116</v>
      </c>
      <c r="L119" s="35">
        <f t="shared" si="19"/>
        <v>93.36712792118297</v>
      </c>
      <c r="M119" s="35">
        <f t="shared" si="14"/>
        <v>1.0389095408598599</v>
      </c>
      <c r="N119" s="48">
        <f t="shared" si="15"/>
        <v>98.763466875639295</v>
      </c>
    </row>
    <row r="120" spans="2:14" x14ac:dyDescent="0.3">
      <c r="B120" s="9">
        <v>42455</v>
      </c>
      <c r="C120" s="24" t="s">
        <v>8</v>
      </c>
      <c r="D120" s="4" t="s">
        <v>11</v>
      </c>
      <c r="E120" s="3" t="s">
        <v>15</v>
      </c>
      <c r="F120" s="5" t="s">
        <v>13</v>
      </c>
      <c r="G120" s="25">
        <v>83</v>
      </c>
      <c r="H120" s="20">
        <f t="shared" si="16"/>
        <v>1</v>
      </c>
      <c r="I120" s="3">
        <f t="shared" si="17"/>
        <v>0</v>
      </c>
      <c r="J120" s="35">
        <f t="shared" si="18"/>
        <v>0</v>
      </c>
      <c r="K120" s="3">
        <v>117</v>
      </c>
      <c r="L120" s="35">
        <f t="shared" si="19"/>
        <v>114.87466752200264</v>
      </c>
      <c r="M120" s="35">
        <f t="shared" si="14"/>
        <v>0.7225265743128485</v>
      </c>
      <c r="N120" s="48">
        <f t="shared" si="15"/>
        <v>102.19873367468765</v>
      </c>
    </row>
    <row r="121" spans="2:14" x14ac:dyDescent="0.3">
      <c r="B121" s="9">
        <v>42456</v>
      </c>
      <c r="C121" s="24" t="s">
        <v>9</v>
      </c>
      <c r="D121" s="4" t="s">
        <v>11</v>
      </c>
      <c r="E121" s="3" t="s">
        <v>15</v>
      </c>
      <c r="F121" s="5" t="s">
        <v>30</v>
      </c>
      <c r="G121" s="25">
        <v>63</v>
      </c>
      <c r="H121" s="20">
        <f t="shared" si="16"/>
        <v>1</v>
      </c>
      <c r="I121" s="3">
        <f t="shared" si="17"/>
        <v>0</v>
      </c>
      <c r="J121" s="35">
        <f t="shared" si="18"/>
        <v>1</v>
      </c>
      <c r="K121" s="3">
        <v>118</v>
      </c>
      <c r="L121" s="35">
        <f t="shared" si="19"/>
        <v>94.202575260984531</v>
      </c>
      <c r="M121" s="35">
        <f t="shared" si="14"/>
        <v>0.66877152588940347</v>
      </c>
      <c r="N121" s="48">
        <f t="shared" si="15"/>
        <v>74.153478353241994</v>
      </c>
    </row>
    <row r="122" spans="2:14" x14ac:dyDescent="0.3">
      <c r="B122" s="9">
        <v>42457</v>
      </c>
      <c r="C122" s="24" t="s">
        <v>10</v>
      </c>
      <c r="D122" s="4" t="s">
        <v>11</v>
      </c>
      <c r="E122" s="3" t="s">
        <v>16</v>
      </c>
      <c r="F122" s="5" t="s">
        <v>13</v>
      </c>
      <c r="G122" s="25">
        <v>111</v>
      </c>
      <c r="H122" s="20">
        <f t="shared" si="16"/>
        <v>1</v>
      </c>
      <c r="I122" s="3">
        <f t="shared" si="17"/>
        <v>0</v>
      </c>
      <c r="J122" s="35">
        <f t="shared" si="18"/>
        <v>0</v>
      </c>
      <c r="K122" s="3">
        <v>119</v>
      </c>
      <c r="L122" s="35">
        <f t="shared" si="19"/>
        <v>115.71011486180421</v>
      </c>
      <c r="M122" s="35">
        <f t="shared" si="14"/>
        <v>0.9592938364340089</v>
      </c>
      <c r="N122" s="48">
        <f t="shared" si="15"/>
        <v>113.83014461645898</v>
      </c>
    </row>
    <row r="123" spans="2:14" x14ac:dyDescent="0.3">
      <c r="B123" s="9">
        <v>42458</v>
      </c>
      <c r="C123" s="24" t="s">
        <v>4</v>
      </c>
      <c r="D123" s="4" t="s">
        <v>14</v>
      </c>
      <c r="E123" s="3" t="s">
        <v>15</v>
      </c>
      <c r="F123" s="5" t="s">
        <v>13</v>
      </c>
      <c r="G123" s="25">
        <v>100</v>
      </c>
      <c r="H123" s="20">
        <f t="shared" si="16"/>
        <v>0</v>
      </c>
      <c r="I123" s="3">
        <f t="shared" si="17"/>
        <v>0</v>
      </c>
      <c r="J123" s="35">
        <f t="shared" si="18"/>
        <v>0</v>
      </c>
      <c r="K123" s="3">
        <v>120</v>
      </c>
      <c r="L123" s="35">
        <f t="shared" si="19"/>
        <v>104.45727611029562</v>
      </c>
      <c r="M123" s="35">
        <f t="shared" si="14"/>
        <v>0.95732919451595477</v>
      </c>
      <c r="N123" s="48">
        <f t="shared" si="15"/>
        <v>113.79767615082606</v>
      </c>
    </row>
    <row r="124" spans="2:14" x14ac:dyDescent="0.3">
      <c r="B124" s="9">
        <v>42459</v>
      </c>
      <c r="C124" s="24" t="s">
        <v>5</v>
      </c>
      <c r="D124" s="4" t="s">
        <v>14</v>
      </c>
      <c r="E124" s="3" t="s">
        <v>12</v>
      </c>
      <c r="F124" s="5" t="s">
        <v>13</v>
      </c>
      <c r="G124" s="25">
        <v>106</v>
      </c>
      <c r="H124" s="20">
        <f t="shared" si="16"/>
        <v>0</v>
      </c>
      <c r="I124" s="3">
        <f t="shared" si="17"/>
        <v>0</v>
      </c>
      <c r="J124" s="35">
        <f t="shared" si="18"/>
        <v>0</v>
      </c>
      <c r="K124" s="3">
        <v>121</v>
      </c>
      <c r="L124" s="35">
        <f t="shared" si="19"/>
        <v>104.87499978019642</v>
      </c>
      <c r="M124" s="35">
        <f t="shared" si="14"/>
        <v>1.0107270581374153</v>
      </c>
      <c r="N124" s="48">
        <f t="shared" si="15"/>
        <v>116.88513116541483</v>
      </c>
    </row>
    <row r="125" spans="2:14" x14ac:dyDescent="0.3">
      <c r="B125" s="9">
        <v>42460</v>
      </c>
      <c r="C125" s="24" t="s">
        <v>6</v>
      </c>
      <c r="D125" s="4" t="s">
        <v>31</v>
      </c>
      <c r="E125" s="3" t="s">
        <v>15</v>
      </c>
      <c r="F125" s="5" t="s">
        <v>13</v>
      </c>
      <c r="G125" s="25">
        <v>51</v>
      </c>
      <c r="H125" s="20">
        <f t="shared" si="16"/>
        <v>0</v>
      </c>
      <c r="I125" s="3">
        <f t="shared" si="17"/>
        <v>1</v>
      </c>
      <c r="J125" s="35">
        <f t="shared" si="18"/>
        <v>0</v>
      </c>
      <c r="K125" s="3">
        <v>122</v>
      </c>
      <c r="L125" s="35">
        <f t="shared" si="19"/>
        <v>49.784824466005233</v>
      </c>
      <c r="M125" s="35">
        <f t="shared" si="14"/>
        <v>1.024408553149053</v>
      </c>
      <c r="N125" s="48">
        <f t="shared" si="15"/>
        <v>54.349142245320166</v>
      </c>
    </row>
    <row r="126" spans="2:14" x14ac:dyDescent="0.3">
      <c r="B126" s="9">
        <v>42461</v>
      </c>
      <c r="C126" s="24" t="s">
        <v>7</v>
      </c>
      <c r="D126" s="4" t="s">
        <v>31</v>
      </c>
      <c r="E126" s="3" t="s">
        <v>16</v>
      </c>
      <c r="F126" s="5" t="s">
        <v>13</v>
      </c>
      <c r="G126" s="25">
        <v>44</v>
      </c>
      <c r="H126" s="20">
        <f t="shared" si="16"/>
        <v>0</v>
      </c>
      <c r="I126" s="3">
        <f t="shared" si="17"/>
        <v>1</v>
      </c>
      <c r="J126" s="35">
        <f t="shared" si="18"/>
        <v>0</v>
      </c>
      <c r="K126" s="3">
        <v>123</v>
      </c>
      <c r="L126" s="35">
        <f t="shared" si="19"/>
        <v>50.202548135906014</v>
      </c>
      <c r="M126" s="35">
        <f t="shared" si="14"/>
        <v>0.8764495356069425</v>
      </c>
      <c r="N126" s="48">
        <f t="shared" si="15"/>
        <v>53.10410430616168</v>
      </c>
    </row>
    <row r="127" spans="2:14" x14ac:dyDescent="0.3">
      <c r="B127" s="9">
        <v>42462</v>
      </c>
      <c r="C127" s="24" t="s">
        <v>8</v>
      </c>
      <c r="D127" s="4" t="s">
        <v>14</v>
      </c>
      <c r="E127" s="3" t="s">
        <v>16</v>
      </c>
      <c r="F127" s="5" t="s">
        <v>13</v>
      </c>
      <c r="G127" s="25">
        <v>88</v>
      </c>
      <c r="H127" s="20">
        <f t="shared" si="16"/>
        <v>0</v>
      </c>
      <c r="I127" s="3">
        <f t="shared" si="17"/>
        <v>0</v>
      </c>
      <c r="J127" s="35">
        <f t="shared" si="18"/>
        <v>0</v>
      </c>
      <c r="K127" s="3">
        <v>124</v>
      </c>
      <c r="L127" s="35">
        <f t="shared" si="19"/>
        <v>106.12817078989877</v>
      </c>
      <c r="M127" s="35">
        <f t="shared" si="14"/>
        <v>0.82918606195722533</v>
      </c>
      <c r="N127" s="48">
        <f t="shared" si="15"/>
        <v>94.417375874983037</v>
      </c>
    </row>
    <row r="128" spans="2:14" ht="15" thickBot="1" x14ac:dyDescent="0.35">
      <c r="B128" s="10">
        <v>42463</v>
      </c>
      <c r="C128" s="26" t="s">
        <v>9</v>
      </c>
      <c r="D128" s="6" t="s">
        <v>11</v>
      </c>
      <c r="E128" s="7" t="s">
        <v>29</v>
      </c>
      <c r="F128" s="8" t="s">
        <v>13</v>
      </c>
      <c r="G128" s="27">
        <v>82</v>
      </c>
      <c r="H128" s="49">
        <f t="shared" si="16"/>
        <v>1</v>
      </c>
      <c r="I128" s="7">
        <f t="shared" si="17"/>
        <v>0</v>
      </c>
      <c r="J128" s="50">
        <f t="shared" si="18"/>
        <v>0</v>
      </c>
      <c r="K128" s="7">
        <v>125</v>
      </c>
      <c r="L128" s="50">
        <f t="shared" si="19"/>
        <v>118.21645688120891</v>
      </c>
      <c r="M128" s="50">
        <f t="shared" si="14"/>
        <v>0.69364284942492049</v>
      </c>
      <c r="N128" s="43">
        <f t="shared" si="15"/>
        <v>93.056495027353392</v>
      </c>
    </row>
    <row r="129" spans="2:14" ht="15" thickBot="1" x14ac:dyDescent="0.35">
      <c r="B129" s="36">
        <v>42464</v>
      </c>
      <c r="C129" t="s">
        <v>10</v>
      </c>
      <c r="D129" t="s">
        <v>11</v>
      </c>
      <c r="E129" t="s">
        <v>70</v>
      </c>
      <c r="F129" t="s">
        <v>30</v>
      </c>
      <c r="G129">
        <v>200</v>
      </c>
      <c r="H129" s="49">
        <f t="shared" si="16"/>
        <v>1</v>
      </c>
      <c r="I129" s="7">
        <f t="shared" si="17"/>
        <v>0</v>
      </c>
      <c r="J129" s="50">
        <f t="shared" si="18"/>
        <v>1</v>
      </c>
      <c r="K129" s="7">
        <v>125</v>
      </c>
      <c r="L129" s="50">
        <f t="shared" si="19"/>
        <v>97.126640950290025</v>
      </c>
      <c r="M129" s="50">
        <f t="shared" si="14"/>
        <v>2.0591672690746212</v>
      </c>
      <c r="N129" s="43">
        <f t="shared" si="15"/>
        <v>95.548600903964314</v>
      </c>
    </row>
    <row r="130" spans="2:14" ht="15" thickBot="1" x14ac:dyDescent="0.35">
      <c r="B130" s="36">
        <v>42465</v>
      </c>
      <c r="C130" t="s">
        <v>4</v>
      </c>
      <c r="D130" t="s">
        <v>14</v>
      </c>
      <c r="E130" t="s">
        <v>32</v>
      </c>
      <c r="F130" t="s">
        <v>13</v>
      </c>
      <c r="G130">
        <v>220</v>
      </c>
      <c r="H130" s="49">
        <f t="shared" si="16"/>
        <v>0</v>
      </c>
      <c r="I130" s="7">
        <f t="shared" si="17"/>
        <v>0</v>
      </c>
      <c r="J130" s="50">
        <f t="shared" si="18"/>
        <v>0</v>
      </c>
      <c r="K130" s="7">
        <v>125</v>
      </c>
      <c r="L130" s="50">
        <f t="shared" si="19"/>
        <v>106.54589445979956</v>
      </c>
      <c r="M130" s="50">
        <f t="shared" si="14"/>
        <v>2.0648378908959968</v>
      </c>
      <c r="N130" s="43">
        <f t="shared" si="15"/>
        <v>116.07305536221348</v>
      </c>
    </row>
    <row r="131" spans="2:14" ht="15" thickBot="1" x14ac:dyDescent="0.35">
      <c r="B131" s="36">
        <v>42466</v>
      </c>
      <c r="C131" t="s">
        <v>5</v>
      </c>
      <c r="D131" t="s">
        <v>11</v>
      </c>
      <c r="E131" t="s">
        <v>70</v>
      </c>
      <c r="F131" t="s">
        <v>30</v>
      </c>
      <c r="G131">
        <v>220</v>
      </c>
      <c r="H131" s="49">
        <f t="shared" si="16"/>
        <v>1</v>
      </c>
      <c r="I131" s="7">
        <f t="shared" si="17"/>
        <v>0</v>
      </c>
      <c r="J131" s="50">
        <f t="shared" si="18"/>
        <v>1</v>
      </c>
      <c r="K131" s="7">
        <v>125</v>
      </c>
      <c r="L131" s="50">
        <f t="shared" si="19"/>
        <v>97.126640950290025</v>
      </c>
      <c r="M131" s="50">
        <f t="shared" si="14"/>
        <v>2.2650839959820837</v>
      </c>
      <c r="N131" s="43">
        <f t="shared" si="15"/>
        <v>108.2494416297918</v>
      </c>
    </row>
    <row r="132" spans="2:14" ht="15" thickBot="1" x14ac:dyDescent="0.35">
      <c r="B132" s="36">
        <v>42467</v>
      </c>
      <c r="C132" t="s">
        <v>6</v>
      </c>
      <c r="D132" t="s">
        <v>11</v>
      </c>
      <c r="E132" t="s">
        <v>70</v>
      </c>
      <c r="F132" t="s">
        <v>30</v>
      </c>
      <c r="G132">
        <v>220</v>
      </c>
      <c r="H132" s="49">
        <f t="shared" si="16"/>
        <v>1</v>
      </c>
      <c r="I132" s="7">
        <f t="shared" si="17"/>
        <v>0</v>
      </c>
      <c r="J132" s="50">
        <f t="shared" si="18"/>
        <v>1</v>
      </c>
      <c r="K132" s="7">
        <v>125</v>
      </c>
      <c r="L132" s="50">
        <f t="shared" si="19"/>
        <v>97.126640950290025</v>
      </c>
      <c r="M132" s="50">
        <f t="shared" si="14"/>
        <v>2.2650839959820837</v>
      </c>
      <c r="N132" s="43">
        <f t="shared" si="15"/>
        <v>106.03129932539905</v>
      </c>
    </row>
    <row r="133" spans="2:14" ht="15" thickBot="1" x14ac:dyDescent="0.35">
      <c r="B133" s="36">
        <v>42468</v>
      </c>
      <c r="C133" t="s">
        <v>7</v>
      </c>
      <c r="D133" t="s">
        <v>26</v>
      </c>
      <c r="E133" t="s">
        <v>70</v>
      </c>
      <c r="F133" t="s">
        <v>30</v>
      </c>
      <c r="G133">
        <v>200</v>
      </c>
      <c r="H133" s="49">
        <f t="shared" si="16"/>
        <v>0</v>
      </c>
      <c r="I133" s="7">
        <f t="shared" si="17"/>
        <v>0</v>
      </c>
      <c r="J133" s="50">
        <f t="shared" si="18"/>
        <v>1</v>
      </c>
      <c r="K133" s="7">
        <v>125</v>
      </c>
      <c r="L133" s="50">
        <f t="shared" si="19"/>
        <v>85.456078528880667</v>
      </c>
      <c r="M133" s="50">
        <f t="shared" si="14"/>
        <v>2.3403835448921071</v>
      </c>
      <c r="N133" s="43">
        <f t="shared" si="15"/>
        <v>90.395182641087729</v>
      </c>
    </row>
    <row r="134" spans="2:14" ht="15" thickBot="1" x14ac:dyDescent="0.35">
      <c r="B134" s="36">
        <v>42469</v>
      </c>
      <c r="C134" t="s">
        <v>8</v>
      </c>
      <c r="D134" t="s">
        <v>11</v>
      </c>
      <c r="E134" t="s">
        <v>70</v>
      </c>
      <c r="F134" t="s">
        <v>30</v>
      </c>
      <c r="G134">
        <v>10</v>
      </c>
      <c r="H134" s="49">
        <f t="shared" si="16"/>
        <v>1</v>
      </c>
      <c r="I134" s="7">
        <f t="shared" si="17"/>
        <v>0</v>
      </c>
      <c r="J134" s="50">
        <f t="shared" si="18"/>
        <v>1</v>
      </c>
      <c r="K134" s="7">
        <v>125</v>
      </c>
      <c r="L134" s="50">
        <f t="shared" si="19"/>
        <v>97.126640950290025</v>
      </c>
      <c r="M134" s="50">
        <f t="shared" si="14"/>
        <v>0.10295836345373106</v>
      </c>
      <c r="N134" s="43">
        <f t="shared" si="15"/>
        <v>86.409126792854238</v>
      </c>
    </row>
    <row r="135" spans="2:14" ht="15" thickBot="1" x14ac:dyDescent="0.35">
      <c r="B135" s="36">
        <v>42470</v>
      </c>
      <c r="C135" t="s">
        <v>9</v>
      </c>
      <c r="D135" t="s">
        <v>26</v>
      </c>
      <c r="E135" t="s">
        <v>70</v>
      </c>
      <c r="F135" t="s">
        <v>30</v>
      </c>
      <c r="G135">
        <v>155</v>
      </c>
      <c r="H135" s="49">
        <f t="shared" si="16"/>
        <v>0</v>
      </c>
      <c r="I135" s="7">
        <f t="shared" si="17"/>
        <v>0</v>
      </c>
      <c r="J135" s="50">
        <f t="shared" si="18"/>
        <v>1</v>
      </c>
      <c r="K135" s="7">
        <v>125</v>
      </c>
      <c r="L135" s="50">
        <f t="shared" si="19"/>
        <v>85.456078528880667</v>
      </c>
      <c r="M135" s="50">
        <f t="shared" si="14"/>
        <v>1.8137972472913828</v>
      </c>
      <c r="N135" s="43">
        <f t="shared" si="15"/>
        <v>67.268495068083467</v>
      </c>
    </row>
    <row r="136" spans="2:14" ht="15" thickBot="1" x14ac:dyDescent="0.35">
      <c r="B136" s="36">
        <v>42471</v>
      </c>
      <c r="C136" t="s">
        <v>10</v>
      </c>
      <c r="D136" t="s">
        <v>11</v>
      </c>
      <c r="E136" t="s">
        <v>70</v>
      </c>
      <c r="F136" t="s">
        <v>30</v>
      </c>
      <c r="G136">
        <v>151</v>
      </c>
      <c r="H136" s="49">
        <f t="shared" si="16"/>
        <v>1</v>
      </c>
      <c r="I136" s="7">
        <f t="shared" si="17"/>
        <v>0</v>
      </c>
      <c r="J136" s="50">
        <f t="shared" si="18"/>
        <v>1</v>
      </c>
      <c r="K136" s="7">
        <v>125</v>
      </c>
      <c r="L136" s="50">
        <f t="shared" si="19"/>
        <v>97.126640950290025</v>
      </c>
      <c r="M136" s="50">
        <f t="shared" si="14"/>
        <v>1.5546712881513391</v>
      </c>
      <c r="N136" s="43">
        <f t="shared" si="15"/>
        <v>95.548600903964314</v>
      </c>
    </row>
    <row r="137" spans="2:14" ht="15" thickBot="1" x14ac:dyDescent="0.35">
      <c r="B137" s="36">
        <v>42472</v>
      </c>
      <c r="C137" t="s">
        <v>4</v>
      </c>
      <c r="D137" t="s">
        <v>26</v>
      </c>
      <c r="E137" t="s">
        <v>70</v>
      </c>
      <c r="F137" t="s">
        <v>30</v>
      </c>
      <c r="G137">
        <v>158</v>
      </c>
      <c r="H137" s="49">
        <f t="shared" si="16"/>
        <v>0</v>
      </c>
      <c r="I137" s="7">
        <f t="shared" si="17"/>
        <v>0</v>
      </c>
      <c r="J137" s="50">
        <f t="shared" si="18"/>
        <v>1</v>
      </c>
      <c r="K137" s="7">
        <v>125</v>
      </c>
      <c r="L137" s="50">
        <f t="shared" si="19"/>
        <v>85.456078528880667</v>
      </c>
      <c r="M137" s="50">
        <f t="shared" si="14"/>
        <v>1.8489030004647644</v>
      </c>
      <c r="N137" s="43">
        <f t="shared" si="15"/>
        <v>93.09742233064631</v>
      </c>
    </row>
    <row r="138" spans="2:14" ht="15" thickBot="1" x14ac:dyDescent="0.35">
      <c r="B138" s="36">
        <v>42473</v>
      </c>
      <c r="C138" t="s">
        <v>5</v>
      </c>
      <c r="D138" t="s">
        <v>11</v>
      </c>
      <c r="E138" t="s">
        <v>32</v>
      </c>
      <c r="F138" t="s">
        <v>30</v>
      </c>
      <c r="G138">
        <v>156</v>
      </c>
      <c r="H138" s="49">
        <f t="shared" si="16"/>
        <v>1</v>
      </c>
      <c r="I138" s="7">
        <f t="shared" si="17"/>
        <v>0</v>
      </c>
      <c r="J138" s="50">
        <f t="shared" si="18"/>
        <v>1</v>
      </c>
      <c r="K138" s="7">
        <v>125</v>
      </c>
      <c r="L138" s="50">
        <f t="shared" si="19"/>
        <v>97.126640950290025</v>
      </c>
      <c r="M138" s="50">
        <f t="shared" si="14"/>
        <v>1.6061504698782048</v>
      </c>
      <c r="N138" s="43">
        <f t="shared" si="15"/>
        <v>108.2494416297918</v>
      </c>
    </row>
    <row r="139" spans="2:14" x14ac:dyDescent="0.3">
      <c r="B139" s="36"/>
    </row>
    <row r="140" spans="2:14" x14ac:dyDescent="0.3">
      <c r="B140" s="36"/>
    </row>
    <row r="141" spans="2:14" x14ac:dyDescent="0.3">
      <c r="B141" s="36"/>
    </row>
    <row r="142" spans="2:14" x14ac:dyDescent="0.3">
      <c r="B142" s="36"/>
    </row>
  </sheetData>
  <sortState ref="B4:O128">
    <sortCondition ref="B3"/>
  </sortState>
  <dataConsolidate/>
  <mergeCells count="2">
    <mergeCell ref="D2:F2"/>
    <mergeCell ref="G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C142"/>
  <sheetViews>
    <sheetView topLeftCell="B3" workbookViewId="0">
      <selection activeCell="H3" sqref="H3:N3"/>
    </sheetView>
  </sheetViews>
  <sheetFormatPr defaultRowHeight="14.4" x14ac:dyDescent="0.3"/>
  <cols>
    <col min="21" max="21" width="11.21875" customWidth="1"/>
    <col min="22" max="22" width="13.6640625" bestFit="1" customWidth="1"/>
  </cols>
  <sheetData>
    <row r="1" spans="2:26" ht="15" thickBot="1" x14ac:dyDescent="0.35"/>
    <row r="2" spans="2:26" ht="15" thickBot="1" x14ac:dyDescent="0.35">
      <c r="B2" s="2"/>
      <c r="C2" s="1"/>
      <c r="D2" s="61" t="s">
        <v>1</v>
      </c>
      <c r="E2" s="59"/>
      <c r="F2" s="60"/>
      <c r="G2" s="58" t="s">
        <v>27</v>
      </c>
      <c r="H2" s="59"/>
      <c r="I2" s="59"/>
      <c r="J2" s="59"/>
      <c r="K2" s="59"/>
      <c r="L2" s="60"/>
      <c r="U2" t="s">
        <v>60</v>
      </c>
    </row>
    <row r="3" spans="2:26" x14ac:dyDescent="0.3">
      <c r="B3" s="53" t="s">
        <v>0</v>
      </c>
      <c r="C3" s="46" t="s">
        <v>25</v>
      </c>
      <c r="D3" s="46" t="s">
        <v>2</v>
      </c>
      <c r="E3" s="46" t="s">
        <v>3</v>
      </c>
      <c r="F3" s="47" t="s">
        <v>28</v>
      </c>
      <c r="G3" s="54" t="s">
        <v>22</v>
      </c>
      <c r="H3" s="46" t="s">
        <v>32</v>
      </c>
      <c r="I3" s="46" t="s">
        <v>16</v>
      </c>
      <c r="J3" s="46" t="s">
        <v>11</v>
      </c>
      <c r="K3" s="46" t="s">
        <v>31</v>
      </c>
      <c r="L3" s="46" t="s">
        <v>14</v>
      </c>
      <c r="M3" s="46" t="s">
        <v>33</v>
      </c>
      <c r="N3" s="46" t="s">
        <v>34</v>
      </c>
      <c r="O3" s="46" t="s">
        <v>58</v>
      </c>
      <c r="P3" s="46" t="s">
        <v>63</v>
      </c>
      <c r="Q3" s="47" t="s">
        <v>66</v>
      </c>
    </row>
    <row r="4" spans="2:26" x14ac:dyDescent="0.3">
      <c r="B4" s="9">
        <v>42339</v>
      </c>
      <c r="C4" s="3" t="s">
        <v>4</v>
      </c>
      <c r="D4" s="3" t="s">
        <v>11</v>
      </c>
      <c r="E4" s="3" t="s">
        <v>15</v>
      </c>
      <c r="F4" s="5" t="s">
        <v>13</v>
      </c>
      <c r="G4" s="25">
        <v>130</v>
      </c>
      <c r="H4" s="3">
        <f t="shared" ref="H4:H35" si="0">IF(E4=$H$3,1,0)</f>
        <v>0</v>
      </c>
      <c r="I4" s="3">
        <f t="shared" ref="I4:I35" si="1">IF(E4=$I$3,1,0)</f>
        <v>0</v>
      </c>
      <c r="J4" s="3">
        <f t="shared" ref="J4:J35" si="2">IF(D4=J$3,1,0)</f>
        <v>1</v>
      </c>
      <c r="K4" s="3">
        <f t="shared" ref="K4:K35" si="3">IF(D4=K$3,1,0)</f>
        <v>0</v>
      </c>
      <c r="L4" s="3">
        <f t="shared" ref="L4:L35" si="4">IF(D4=L$3,1,0)</f>
        <v>0</v>
      </c>
      <c r="M4" s="35">
        <f t="shared" ref="M4:M35" si="5">IF(F4="Yes",1,0)</f>
        <v>0</v>
      </c>
      <c r="N4" s="3">
        <v>1</v>
      </c>
      <c r="O4" s="35">
        <f>$V$21+$V$22*H4+$V$23*I4+$V$24*J4+$V$25*K4+$V$26*L4+$V$27*M4+$V$28*N4</f>
        <v>126.11579672698274</v>
      </c>
      <c r="P4" s="35">
        <f>G4/O4</f>
        <v>1.0307987054264569</v>
      </c>
      <c r="Q4" s="48">
        <f>VLOOKUP(C4,$U$34:$V$40,2,FALSE)*O4</f>
        <v>137.89597005564644</v>
      </c>
    </row>
    <row r="5" spans="2:26" x14ac:dyDescent="0.3">
      <c r="B5" s="9">
        <v>42340</v>
      </c>
      <c r="C5" s="3" t="s">
        <v>5</v>
      </c>
      <c r="D5" s="3" t="s">
        <v>11</v>
      </c>
      <c r="E5" s="3" t="s">
        <v>29</v>
      </c>
      <c r="F5" s="5" t="s">
        <v>13</v>
      </c>
      <c r="G5" s="25">
        <v>180</v>
      </c>
      <c r="H5" s="3">
        <f t="shared" si="0"/>
        <v>1</v>
      </c>
      <c r="I5" s="3">
        <f t="shared" si="1"/>
        <v>0</v>
      </c>
      <c r="J5" s="3">
        <f t="shared" si="2"/>
        <v>1</v>
      </c>
      <c r="K5" s="3">
        <f t="shared" si="3"/>
        <v>0</v>
      </c>
      <c r="L5" s="3">
        <f t="shared" si="4"/>
        <v>0</v>
      </c>
      <c r="M5" s="35">
        <f t="shared" si="5"/>
        <v>0</v>
      </c>
      <c r="N5" s="3">
        <v>2</v>
      </c>
      <c r="O5" s="35">
        <f t="shared" ref="O5:O68" si="6">$V$21+$V$22*H5+$V$23*I5+$V$24*J5+$V$25*K5+$V$26*L5+$V$27*M5+$V$28*N5</f>
        <v>158.72763036539541</v>
      </c>
      <c r="P5" s="35">
        <f t="shared" ref="P5:P68" si="7">G5/O5</f>
        <v>1.1340180634312691</v>
      </c>
      <c r="Q5" s="48">
        <f t="shared" ref="Q5:Q68" si="8">VLOOKUP(C5,$U$34:$V$40,2,FALSE)*O5</f>
        <v>186.50241430994996</v>
      </c>
      <c r="U5" t="s">
        <v>35</v>
      </c>
    </row>
    <row r="6" spans="2:26" ht="15" thickBot="1" x14ac:dyDescent="0.35">
      <c r="B6" s="9">
        <v>42341</v>
      </c>
      <c r="C6" s="3" t="s">
        <v>6</v>
      </c>
      <c r="D6" s="3" t="s">
        <v>14</v>
      </c>
      <c r="E6" s="3" t="s">
        <v>15</v>
      </c>
      <c r="F6" s="5" t="s">
        <v>13</v>
      </c>
      <c r="G6" s="25">
        <v>126</v>
      </c>
      <c r="H6" s="3">
        <f t="shared" si="0"/>
        <v>0</v>
      </c>
      <c r="I6" s="3">
        <f t="shared" si="1"/>
        <v>0</v>
      </c>
      <c r="J6" s="3">
        <f t="shared" si="2"/>
        <v>0</v>
      </c>
      <c r="K6" s="3">
        <f t="shared" si="3"/>
        <v>0</v>
      </c>
      <c r="L6" s="3">
        <f t="shared" si="4"/>
        <v>1</v>
      </c>
      <c r="M6" s="35">
        <f t="shared" si="5"/>
        <v>0</v>
      </c>
      <c r="N6" s="3">
        <v>3</v>
      </c>
      <c r="O6" s="35">
        <f t="shared" si="6"/>
        <v>122.96158683907802</v>
      </c>
      <c r="P6" s="35">
        <f t="shared" si="7"/>
        <v>1.0247102630913376</v>
      </c>
      <c r="Q6" s="48">
        <f t="shared" si="8"/>
        <v>124.34222880646097</v>
      </c>
    </row>
    <row r="7" spans="2:26" x14ac:dyDescent="0.3">
      <c r="B7" s="9">
        <v>42342</v>
      </c>
      <c r="C7" s="3" t="s">
        <v>7</v>
      </c>
      <c r="D7" s="3" t="s">
        <v>11</v>
      </c>
      <c r="E7" s="3" t="s">
        <v>15</v>
      </c>
      <c r="F7" s="5" t="s">
        <v>13</v>
      </c>
      <c r="G7" s="25">
        <v>131</v>
      </c>
      <c r="H7" s="3">
        <f t="shared" si="0"/>
        <v>0</v>
      </c>
      <c r="I7" s="3">
        <f t="shared" si="1"/>
        <v>0</v>
      </c>
      <c r="J7" s="3">
        <f t="shared" si="2"/>
        <v>1</v>
      </c>
      <c r="K7" s="3">
        <f t="shared" si="3"/>
        <v>0</v>
      </c>
      <c r="L7" s="3">
        <f t="shared" si="4"/>
        <v>0</v>
      </c>
      <c r="M7" s="35">
        <f t="shared" si="5"/>
        <v>0</v>
      </c>
      <c r="N7" s="3">
        <v>4</v>
      </c>
      <c r="O7" s="35">
        <f t="shared" si="6"/>
        <v>126.78239673891829</v>
      </c>
      <c r="P7" s="35">
        <f t="shared" si="7"/>
        <v>1.0332664736553843</v>
      </c>
      <c r="Q7" s="48">
        <f t="shared" si="8"/>
        <v>129.8986889740728</v>
      </c>
      <c r="U7" s="32" t="s">
        <v>36</v>
      </c>
      <c r="V7" s="32"/>
    </row>
    <row r="8" spans="2:26" x14ac:dyDescent="0.3">
      <c r="B8" s="9">
        <v>42343</v>
      </c>
      <c r="C8" s="3" t="s">
        <v>8</v>
      </c>
      <c r="D8" s="3" t="s">
        <v>11</v>
      </c>
      <c r="E8" s="3" t="s">
        <v>15</v>
      </c>
      <c r="F8" s="5" t="s">
        <v>13</v>
      </c>
      <c r="G8" s="25">
        <v>111</v>
      </c>
      <c r="H8" s="3">
        <f t="shared" si="0"/>
        <v>0</v>
      </c>
      <c r="I8" s="3">
        <f t="shared" si="1"/>
        <v>0</v>
      </c>
      <c r="J8" s="3">
        <f t="shared" si="2"/>
        <v>1</v>
      </c>
      <c r="K8" s="3">
        <f t="shared" si="3"/>
        <v>0</v>
      </c>
      <c r="L8" s="3">
        <f t="shared" si="4"/>
        <v>0</v>
      </c>
      <c r="M8" s="35">
        <f t="shared" si="5"/>
        <v>0</v>
      </c>
      <c r="N8" s="3">
        <v>5</v>
      </c>
      <c r="O8" s="35">
        <f t="shared" si="6"/>
        <v>127.00459674289682</v>
      </c>
      <c r="P8" s="35">
        <f t="shared" si="7"/>
        <v>0.8739841143285868</v>
      </c>
      <c r="Q8" s="48">
        <f t="shared" si="8"/>
        <v>113.10651099850801</v>
      </c>
      <c r="U8" s="29" t="s">
        <v>37</v>
      </c>
      <c r="V8" s="29">
        <v>0.63004617497012882</v>
      </c>
    </row>
    <row r="9" spans="2:26" x14ac:dyDescent="0.3">
      <c r="B9" s="9">
        <v>42344</v>
      </c>
      <c r="C9" s="3" t="s">
        <v>9</v>
      </c>
      <c r="D9" s="3" t="s">
        <v>14</v>
      </c>
      <c r="E9" s="3" t="s">
        <v>16</v>
      </c>
      <c r="F9" s="5" t="s">
        <v>13</v>
      </c>
      <c r="G9" s="25">
        <v>103</v>
      </c>
      <c r="H9" s="3">
        <f t="shared" si="0"/>
        <v>0</v>
      </c>
      <c r="I9" s="3">
        <f t="shared" si="1"/>
        <v>1</v>
      </c>
      <c r="J9" s="3">
        <f t="shared" si="2"/>
        <v>0</v>
      </c>
      <c r="K9" s="3">
        <f t="shared" si="3"/>
        <v>0</v>
      </c>
      <c r="L9" s="3">
        <f t="shared" si="4"/>
        <v>1</v>
      </c>
      <c r="M9" s="35">
        <f t="shared" si="5"/>
        <v>0</v>
      </c>
      <c r="N9" s="3">
        <v>6</v>
      </c>
      <c r="O9" s="35">
        <f t="shared" si="6"/>
        <v>145.37371191065137</v>
      </c>
      <c r="P9" s="35">
        <f t="shared" si="7"/>
        <v>0.7085187455576919</v>
      </c>
      <c r="Q9" s="48">
        <f t="shared" si="8"/>
        <v>110.94804261815865</v>
      </c>
      <c r="U9" s="29" t="s">
        <v>38</v>
      </c>
      <c r="V9" s="29">
        <v>0.39695818259449012</v>
      </c>
    </row>
    <row r="10" spans="2:26" x14ac:dyDescent="0.3">
      <c r="B10" s="9">
        <v>42345</v>
      </c>
      <c r="C10" s="3" t="s">
        <v>10</v>
      </c>
      <c r="D10" s="3" t="s">
        <v>11</v>
      </c>
      <c r="E10" s="3" t="s">
        <v>29</v>
      </c>
      <c r="F10" s="5" t="s">
        <v>13</v>
      </c>
      <c r="G10" s="25">
        <v>167</v>
      </c>
      <c r="H10" s="3">
        <f t="shared" si="0"/>
        <v>1</v>
      </c>
      <c r="I10" s="3">
        <f t="shared" si="1"/>
        <v>0</v>
      </c>
      <c r="J10" s="3">
        <f t="shared" si="2"/>
        <v>1</v>
      </c>
      <c r="K10" s="3">
        <f t="shared" si="3"/>
        <v>0</v>
      </c>
      <c r="L10" s="3">
        <f t="shared" si="4"/>
        <v>0</v>
      </c>
      <c r="M10" s="35">
        <f t="shared" si="5"/>
        <v>0</v>
      </c>
      <c r="N10" s="3">
        <v>7</v>
      </c>
      <c r="O10" s="35">
        <f t="shared" si="6"/>
        <v>159.83863038528801</v>
      </c>
      <c r="P10" s="35">
        <f t="shared" si="7"/>
        <v>1.0448037473635106</v>
      </c>
      <c r="Q10" s="48">
        <f t="shared" si="8"/>
        <v>167.54583240104395</v>
      </c>
      <c r="U10" s="29" t="s">
        <v>39</v>
      </c>
      <c r="V10" s="29">
        <v>0.36087875762151089</v>
      </c>
    </row>
    <row r="11" spans="2:26" x14ac:dyDescent="0.3">
      <c r="B11" s="9">
        <v>42346</v>
      </c>
      <c r="C11" s="3" t="s">
        <v>4</v>
      </c>
      <c r="D11" s="3" t="s">
        <v>11</v>
      </c>
      <c r="E11" s="3" t="s">
        <v>15</v>
      </c>
      <c r="F11" s="5" t="s">
        <v>13</v>
      </c>
      <c r="G11" s="25">
        <v>134</v>
      </c>
      <c r="H11" s="3">
        <f t="shared" si="0"/>
        <v>0</v>
      </c>
      <c r="I11" s="3">
        <f t="shared" si="1"/>
        <v>0</v>
      </c>
      <c r="J11" s="3">
        <f t="shared" si="2"/>
        <v>1</v>
      </c>
      <c r="K11" s="3">
        <f t="shared" si="3"/>
        <v>0</v>
      </c>
      <c r="L11" s="3">
        <f t="shared" si="4"/>
        <v>0</v>
      </c>
      <c r="M11" s="35">
        <f t="shared" si="5"/>
        <v>0</v>
      </c>
      <c r="N11" s="3">
        <v>8</v>
      </c>
      <c r="O11" s="35">
        <f t="shared" si="6"/>
        <v>127.67119675483239</v>
      </c>
      <c r="P11" s="35">
        <f t="shared" si="7"/>
        <v>1.0495711124046314</v>
      </c>
      <c r="Q11" s="48">
        <f t="shared" si="8"/>
        <v>139.59665626016073</v>
      </c>
      <c r="U11" s="29" t="s">
        <v>40</v>
      </c>
      <c r="V11" s="29">
        <v>23.809183181200613</v>
      </c>
    </row>
    <row r="12" spans="2:26" ht="15" thickBot="1" x14ac:dyDescent="0.35">
      <c r="B12" s="9">
        <v>42347</v>
      </c>
      <c r="C12" s="3" t="s">
        <v>5</v>
      </c>
      <c r="D12" s="3" t="s">
        <v>11</v>
      </c>
      <c r="E12" s="3" t="s">
        <v>16</v>
      </c>
      <c r="F12" s="5" t="s">
        <v>13</v>
      </c>
      <c r="G12" s="25">
        <v>172</v>
      </c>
      <c r="H12" s="3">
        <f t="shared" si="0"/>
        <v>0</v>
      </c>
      <c r="I12" s="3">
        <f t="shared" si="1"/>
        <v>1</v>
      </c>
      <c r="J12" s="3">
        <f t="shared" si="2"/>
        <v>1</v>
      </c>
      <c r="K12" s="3">
        <f t="shared" si="3"/>
        <v>0</v>
      </c>
      <c r="L12" s="3">
        <f t="shared" si="4"/>
        <v>0</v>
      </c>
      <c r="M12" s="35">
        <f t="shared" si="5"/>
        <v>0</v>
      </c>
      <c r="N12" s="3">
        <v>9</v>
      </c>
      <c r="O12" s="35">
        <f t="shared" si="6"/>
        <v>149.63892181844869</v>
      </c>
      <c r="P12" s="35">
        <f t="shared" si="7"/>
        <v>1.1494335692199198</v>
      </c>
      <c r="Q12" s="48">
        <f t="shared" si="8"/>
        <v>175.8233278581271</v>
      </c>
      <c r="U12" s="30" t="s">
        <v>41</v>
      </c>
      <c r="V12" s="30">
        <v>125</v>
      </c>
    </row>
    <row r="13" spans="2:26" x14ac:dyDescent="0.3">
      <c r="B13" s="9">
        <v>42348</v>
      </c>
      <c r="C13" s="3" t="s">
        <v>6</v>
      </c>
      <c r="D13" s="3" t="s">
        <v>26</v>
      </c>
      <c r="E13" s="3" t="s">
        <v>16</v>
      </c>
      <c r="F13" s="5" t="s">
        <v>13</v>
      </c>
      <c r="G13" s="25">
        <v>127</v>
      </c>
      <c r="H13" s="3">
        <f t="shared" si="0"/>
        <v>0</v>
      </c>
      <c r="I13" s="3">
        <f t="shared" si="1"/>
        <v>1</v>
      </c>
      <c r="J13" s="3">
        <f t="shared" si="2"/>
        <v>0</v>
      </c>
      <c r="K13" s="3">
        <f t="shared" si="3"/>
        <v>0</v>
      </c>
      <c r="L13" s="3">
        <f t="shared" si="4"/>
        <v>0</v>
      </c>
      <c r="M13" s="35">
        <f t="shared" si="5"/>
        <v>0</v>
      </c>
      <c r="N13" s="3">
        <v>10</v>
      </c>
      <c r="O13" s="35">
        <f t="shared" si="6"/>
        <v>131.22140819334857</v>
      </c>
      <c r="P13" s="35">
        <f t="shared" si="7"/>
        <v>0.96782988194175967</v>
      </c>
      <c r="Q13" s="48">
        <f t="shared" si="8"/>
        <v>132.69479340110394</v>
      </c>
    </row>
    <row r="14" spans="2:26" ht="15" thickBot="1" x14ac:dyDescent="0.35">
      <c r="B14" s="9">
        <v>42349</v>
      </c>
      <c r="C14" s="3" t="s">
        <v>7</v>
      </c>
      <c r="D14" s="3" t="s">
        <v>14</v>
      </c>
      <c r="E14" s="3" t="s">
        <v>16</v>
      </c>
      <c r="F14" s="5" t="s">
        <v>13</v>
      </c>
      <c r="G14" s="25">
        <v>151</v>
      </c>
      <c r="H14" s="3">
        <f t="shared" si="0"/>
        <v>0</v>
      </c>
      <c r="I14" s="3">
        <f t="shared" si="1"/>
        <v>1</v>
      </c>
      <c r="J14" s="3">
        <f t="shared" si="2"/>
        <v>0</v>
      </c>
      <c r="K14" s="3">
        <f t="shared" si="3"/>
        <v>0</v>
      </c>
      <c r="L14" s="3">
        <f t="shared" si="4"/>
        <v>1</v>
      </c>
      <c r="M14" s="35">
        <f t="shared" si="5"/>
        <v>0</v>
      </c>
      <c r="N14" s="3">
        <v>11</v>
      </c>
      <c r="O14" s="35">
        <f t="shared" si="6"/>
        <v>146.48471193054397</v>
      </c>
      <c r="P14" s="35">
        <f t="shared" si="7"/>
        <v>1.030824295654805</v>
      </c>
      <c r="Q14" s="48">
        <f t="shared" si="8"/>
        <v>150.08528410854154</v>
      </c>
      <c r="U14" t="s">
        <v>42</v>
      </c>
    </row>
    <row r="15" spans="2:26" x14ac:dyDescent="0.3">
      <c r="B15" s="9">
        <v>42350</v>
      </c>
      <c r="C15" s="3" t="s">
        <v>8</v>
      </c>
      <c r="D15" s="3" t="s">
        <v>14</v>
      </c>
      <c r="E15" s="3" t="s">
        <v>16</v>
      </c>
      <c r="F15" s="5" t="s">
        <v>13</v>
      </c>
      <c r="G15" s="25">
        <v>124</v>
      </c>
      <c r="H15" s="3">
        <f t="shared" si="0"/>
        <v>0</v>
      </c>
      <c r="I15" s="3">
        <f t="shared" si="1"/>
        <v>1</v>
      </c>
      <c r="J15" s="3">
        <f t="shared" si="2"/>
        <v>0</v>
      </c>
      <c r="K15" s="3">
        <f t="shared" si="3"/>
        <v>0</v>
      </c>
      <c r="L15" s="3">
        <f t="shared" si="4"/>
        <v>1</v>
      </c>
      <c r="M15" s="35">
        <f t="shared" si="5"/>
        <v>0</v>
      </c>
      <c r="N15" s="3">
        <v>12</v>
      </c>
      <c r="O15" s="35">
        <f t="shared" si="6"/>
        <v>146.70691193452251</v>
      </c>
      <c r="P15" s="35">
        <f t="shared" si="7"/>
        <v>0.84522261674584942</v>
      </c>
      <c r="Q15" s="48">
        <f t="shared" si="8"/>
        <v>130.6528060702438</v>
      </c>
      <c r="U15" s="31"/>
      <c r="V15" s="31" t="s">
        <v>47</v>
      </c>
      <c r="W15" s="31" t="s">
        <v>48</v>
      </c>
      <c r="X15" s="31" t="s">
        <v>49</v>
      </c>
      <c r="Y15" s="31" t="s">
        <v>50</v>
      </c>
      <c r="Z15" s="31" t="s">
        <v>51</v>
      </c>
    </row>
    <row r="16" spans="2:26" x14ac:dyDescent="0.3">
      <c r="B16" s="9">
        <v>42351</v>
      </c>
      <c r="C16" s="3" t="s">
        <v>9</v>
      </c>
      <c r="D16" s="3" t="s">
        <v>26</v>
      </c>
      <c r="E16" s="3" t="s">
        <v>15</v>
      </c>
      <c r="F16" s="5" t="s">
        <v>13</v>
      </c>
      <c r="G16" s="25">
        <v>94</v>
      </c>
      <c r="H16" s="3">
        <f t="shared" si="0"/>
        <v>0</v>
      </c>
      <c r="I16" s="3">
        <f t="shared" si="1"/>
        <v>0</v>
      </c>
      <c r="J16" s="3">
        <f t="shared" si="2"/>
        <v>0</v>
      </c>
      <c r="K16" s="3">
        <f t="shared" si="3"/>
        <v>0</v>
      </c>
      <c r="L16" s="3">
        <f t="shared" si="4"/>
        <v>0</v>
      </c>
      <c r="M16" s="35">
        <f t="shared" si="5"/>
        <v>0</v>
      </c>
      <c r="N16" s="3">
        <v>13</v>
      </c>
      <c r="O16" s="35">
        <f t="shared" si="6"/>
        <v>110.14248314564635</v>
      </c>
      <c r="P16" s="35">
        <f t="shared" si="7"/>
        <v>0.85343999259304493</v>
      </c>
      <c r="Q16" s="48">
        <f t="shared" si="8"/>
        <v>84.059853418502698</v>
      </c>
      <c r="U16" s="29" t="s">
        <v>43</v>
      </c>
      <c r="V16" s="29">
        <v>7</v>
      </c>
      <c r="W16" s="29">
        <v>43658.839160552016</v>
      </c>
      <c r="X16" s="29">
        <v>6236.977022936002</v>
      </c>
      <c r="Y16" s="29">
        <v>11.002342273796822</v>
      </c>
      <c r="Z16" s="29">
        <v>1.2685338961356685E-10</v>
      </c>
    </row>
    <row r="17" spans="2:29" x14ac:dyDescent="0.3">
      <c r="B17" s="9">
        <v>42352</v>
      </c>
      <c r="C17" s="3" t="s">
        <v>10</v>
      </c>
      <c r="D17" s="3" t="s">
        <v>14</v>
      </c>
      <c r="E17" s="3" t="s">
        <v>29</v>
      </c>
      <c r="F17" s="5" t="s">
        <v>13</v>
      </c>
      <c r="G17" s="25">
        <v>161</v>
      </c>
      <c r="H17" s="3">
        <f t="shared" si="0"/>
        <v>1</v>
      </c>
      <c r="I17" s="3">
        <f t="shared" si="1"/>
        <v>0</v>
      </c>
      <c r="J17" s="3">
        <f t="shared" si="2"/>
        <v>0</v>
      </c>
      <c r="K17" s="3">
        <f t="shared" si="3"/>
        <v>0</v>
      </c>
      <c r="L17" s="3">
        <f t="shared" si="4"/>
        <v>1</v>
      </c>
      <c r="M17" s="35">
        <f t="shared" si="5"/>
        <v>0</v>
      </c>
      <c r="N17" s="3">
        <v>14</v>
      </c>
      <c r="O17" s="35">
        <f t="shared" si="6"/>
        <v>157.79542051727591</v>
      </c>
      <c r="P17" s="35">
        <f t="shared" si="7"/>
        <v>1.0203084441374726</v>
      </c>
      <c r="Q17" s="48">
        <f t="shared" si="8"/>
        <v>165.40410172379197</v>
      </c>
      <c r="U17" s="29" t="s">
        <v>44</v>
      </c>
      <c r="V17" s="29">
        <v>117</v>
      </c>
      <c r="W17" s="29">
        <v>66324.632839448052</v>
      </c>
      <c r="X17" s="29">
        <v>566.87720375596621</v>
      </c>
      <c r="Y17" s="29"/>
      <c r="Z17" s="29"/>
    </row>
    <row r="18" spans="2:29" ht="15" thickBot="1" x14ac:dyDescent="0.35">
      <c r="B18" s="9">
        <v>42353</v>
      </c>
      <c r="C18" s="3" t="s">
        <v>4</v>
      </c>
      <c r="D18" s="3" t="s">
        <v>26</v>
      </c>
      <c r="E18" s="3" t="s">
        <v>15</v>
      </c>
      <c r="F18" s="5" t="s">
        <v>13</v>
      </c>
      <c r="G18" s="25">
        <v>111</v>
      </c>
      <c r="H18" s="3">
        <f t="shared" si="0"/>
        <v>0</v>
      </c>
      <c r="I18" s="3">
        <f t="shared" si="1"/>
        <v>0</v>
      </c>
      <c r="J18" s="3">
        <f t="shared" si="2"/>
        <v>0</v>
      </c>
      <c r="K18" s="3">
        <f t="shared" si="3"/>
        <v>0</v>
      </c>
      <c r="L18" s="3">
        <f t="shared" si="4"/>
        <v>0</v>
      </c>
      <c r="M18" s="35">
        <f t="shared" si="5"/>
        <v>0</v>
      </c>
      <c r="N18" s="3">
        <v>15</v>
      </c>
      <c r="O18" s="35">
        <f t="shared" si="6"/>
        <v>110.5868831536034</v>
      </c>
      <c r="P18" s="35">
        <f t="shared" si="7"/>
        <v>1.0037356767332233</v>
      </c>
      <c r="Q18" s="48">
        <f t="shared" si="8"/>
        <v>120.91653800442516</v>
      </c>
      <c r="U18" s="30" t="s">
        <v>45</v>
      </c>
      <c r="V18" s="30">
        <v>124</v>
      </c>
      <c r="W18" s="30">
        <v>109983.47200000007</v>
      </c>
      <c r="X18" s="30"/>
      <c r="Y18" s="30"/>
      <c r="Z18" s="30"/>
    </row>
    <row r="19" spans="2:29" ht="15" thickBot="1" x14ac:dyDescent="0.35">
      <c r="B19" s="9">
        <v>42354</v>
      </c>
      <c r="C19" s="3" t="s">
        <v>5</v>
      </c>
      <c r="D19" s="3" t="s">
        <v>11</v>
      </c>
      <c r="E19" s="3" t="s">
        <v>15</v>
      </c>
      <c r="F19" s="5" t="s">
        <v>13</v>
      </c>
      <c r="G19" s="25">
        <v>139</v>
      </c>
      <c r="H19" s="3">
        <f t="shared" si="0"/>
        <v>0</v>
      </c>
      <c r="I19" s="3">
        <f t="shared" si="1"/>
        <v>0</v>
      </c>
      <c r="J19" s="3">
        <f t="shared" si="2"/>
        <v>1</v>
      </c>
      <c r="K19" s="3">
        <f t="shared" si="3"/>
        <v>0</v>
      </c>
      <c r="L19" s="3">
        <f t="shared" si="4"/>
        <v>0</v>
      </c>
      <c r="M19" s="35">
        <f t="shared" si="5"/>
        <v>0</v>
      </c>
      <c r="N19" s="3">
        <v>16</v>
      </c>
      <c r="O19" s="35">
        <f t="shared" si="6"/>
        <v>129.44879678666058</v>
      </c>
      <c r="P19" s="35">
        <f t="shared" si="7"/>
        <v>1.0737836383993618</v>
      </c>
      <c r="Q19" s="48">
        <f t="shared" si="8"/>
        <v>152.10025547948743</v>
      </c>
    </row>
    <row r="20" spans="2:29" x14ac:dyDescent="0.3">
      <c r="B20" s="9">
        <v>42355</v>
      </c>
      <c r="C20" s="3" t="s">
        <v>6</v>
      </c>
      <c r="D20" s="3" t="s">
        <v>14</v>
      </c>
      <c r="E20" s="3" t="s">
        <v>29</v>
      </c>
      <c r="F20" s="5" t="s">
        <v>13</v>
      </c>
      <c r="G20" s="25">
        <v>165</v>
      </c>
      <c r="H20" s="3">
        <f t="shared" si="0"/>
        <v>1</v>
      </c>
      <c r="I20" s="3">
        <f t="shared" si="1"/>
        <v>0</v>
      </c>
      <c r="J20" s="3">
        <f t="shared" si="2"/>
        <v>0</v>
      </c>
      <c r="K20" s="3">
        <f t="shared" si="3"/>
        <v>0</v>
      </c>
      <c r="L20" s="3">
        <f t="shared" si="4"/>
        <v>1</v>
      </c>
      <c r="M20" s="35">
        <f t="shared" si="5"/>
        <v>0</v>
      </c>
      <c r="N20" s="3">
        <v>17</v>
      </c>
      <c r="O20" s="35">
        <f t="shared" si="6"/>
        <v>158.46202052921149</v>
      </c>
      <c r="P20" s="35">
        <f t="shared" si="7"/>
        <v>1.0412589682307078</v>
      </c>
      <c r="Q20" s="48">
        <f t="shared" si="8"/>
        <v>160.24126981675727</v>
      </c>
      <c r="U20" s="31"/>
      <c r="V20" s="31" t="s">
        <v>52</v>
      </c>
      <c r="W20" s="31" t="s">
        <v>40</v>
      </c>
      <c r="X20" s="31" t="s">
        <v>53</v>
      </c>
      <c r="Y20" s="31" t="s">
        <v>54</v>
      </c>
      <c r="Z20" s="31" t="s">
        <v>55</v>
      </c>
      <c r="AA20" s="31" t="s">
        <v>56</v>
      </c>
      <c r="AB20" s="31" t="s">
        <v>86</v>
      </c>
      <c r="AC20" s="31" t="s">
        <v>87</v>
      </c>
    </row>
    <row r="21" spans="2:29" x14ac:dyDescent="0.3">
      <c r="B21" s="9">
        <v>42356</v>
      </c>
      <c r="C21" s="3" t="s">
        <v>7</v>
      </c>
      <c r="D21" s="3" t="s">
        <v>11</v>
      </c>
      <c r="E21" s="3" t="s">
        <v>15</v>
      </c>
      <c r="F21" s="5" t="s">
        <v>13</v>
      </c>
      <c r="G21" s="25">
        <v>140</v>
      </c>
      <c r="H21" s="3">
        <f t="shared" si="0"/>
        <v>0</v>
      </c>
      <c r="I21" s="3">
        <f t="shared" si="1"/>
        <v>0</v>
      </c>
      <c r="J21" s="3">
        <f t="shared" si="2"/>
        <v>1</v>
      </c>
      <c r="K21" s="3">
        <f t="shared" si="3"/>
        <v>0</v>
      </c>
      <c r="L21" s="3">
        <f t="shared" si="4"/>
        <v>0</v>
      </c>
      <c r="M21" s="35">
        <f t="shared" si="5"/>
        <v>0</v>
      </c>
      <c r="N21" s="3">
        <v>18</v>
      </c>
      <c r="O21" s="35">
        <f t="shared" si="6"/>
        <v>129.89319679461761</v>
      </c>
      <c r="P21" s="35">
        <f t="shared" si="7"/>
        <v>1.077808564688441</v>
      </c>
      <c r="Q21" s="48">
        <f t="shared" si="8"/>
        <v>133.08595202706547</v>
      </c>
      <c r="U21" s="29" t="s">
        <v>46</v>
      </c>
      <c r="V21" s="29">
        <v>107.25388309392555</v>
      </c>
      <c r="W21" s="29">
        <v>8.495505053988941</v>
      </c>
      <c r="X21" s="29">
        <v>12.624780093982293</v>
      </c>
      <c r="Y21" s="29">
        <v>1.3934223492482739E-23</v>
      </c>
      <c r="Z21" s="29">
        <v>90.428980510150438</v>
      </c>
      <c r="AA21" s="29">
        <v>124.07878567770067</v>
      </c>
      <c r="AB21" s="29">
        <v>90.428980510150438</v>
      </c>
      <c r="AC21" s="29">
        <v>124.07878567770067</v>
      </c>
    </row>
    <row r="22" spans="2:29" x14ac:dyDescent="0.3">
      <c r="B22" s="9">
        <v>42357</v>
      </c>
      <c r="C22" s="3" t="s">
        <v>8</v>
      </c>
      <c r="D22" s="3" t="s">
        <v>11</v>
      </c>
      <c r="E22" s="3" t="s">
        <v>12</v>
      </c>
      <c r="F22" s="5" t="s">
        <v>13</v>
      </c>
      <c r="G22" s="25">
        <v>122</v>
      </c>
      <c r="H22" s="3">
        <f t="shared" si="0"/>
        <v>0</v>
      </c>
      <c r="I22" s="3">
        <f t="shared" si="1"/>
        <v>0</v>
      </c>
      <c r="J22" s="3">
        <f t="shared" si="2"/>
        <v>1</v>
      </c>
      <c r="K22" s="3">
        <f t="shared" si="3"/>
        <v>0</v>
      </c>
      <c r="L22" s="3">
        <f t="shared" si="4"/>
        <v>0</v>
      </c>
      <c r="M22" s="35">
        <f t="shared" si="5"/>
        <v>0</v>
      </c>
      <c r="N22" s="3">
        <v>19</v>
      </c>
      <c r="O22" s="35">
        <f t="shared" si="6"/>
        <v>130.11539679859615</v>
      </c>
      <c r="P22" s="35">
        <f t="shared" si="7"/>
        <v>0.93762923529213182</v>
      </c>
      <c r="Q22" s="48">
        <f t="shared" si="8"/>
        <v>115.87689687222871</v>
      </c>
      <c r="U22" s="29" t="s">
        <v>32</v>
      </c>
      <c r="V22" s="29">
        <v>32.389633634434176</v>
      </c>
      <c r="W22" s="29">
        <v>7.2856063502691253</v>
      </c>
      <c r="X22" s="29">
        <v>4.4457018506411243</v>
      </c>
      <c r="Y22" s="29">
        <v>2.0044473402452655E-5</v>
      </c>
      <c r="Z22" s="29">
        <v>17.960872033091128</v>
      </c>
      <c r="AA22" s="29">
        <v>46.818395235777224</v>
      </c>
      <c r="AB22" s="29">
        <v>17.960872033091128</v>
      </c>
      <c r="AC22" s="29">
        <v>46.818395235777224</v>
      </c>
    </row>
    <row r="23" spans="2:29" x14ac:dyDescent="0.3">
      <c r="B23" s="9">
        <v>42358</v>
      </c>
      <c r="C23" s="3" t="s">
        <v>9</v>
      </c>
      <c r="D23" s="3" t="s">
        <v>11</v>
      </c>
      <c r="E23" s="3" t="s">
        <v>12</v>
      </c>
      <c r="F23" s="5" t="s">
        <v>13</v>
      </c>
      <c r="G23" s="25">
        <v>96</v>
      </c>
      <c r="H23" s="3">
        <f t="shared" si="0"/>
        <v>0</v>
      </c>
      <c r="I23" s="3">
        <f t="shared" si="1"/>
        <v>0</v>
      </c>
      <c r="J23" s="3">
        <f t="shared" si="2"/>
        <v>1</v>
      </c>
      <c r="K23" s="3">
        <f t="shared" si="3"/>
        <v>0</v>
      </c>
      <c r="L23" s="3">
        <f t="shared" si="4"/>
        <v>0</v>
      </c>
      <c r="M23" s="35">
        <f t="shared" si="5"/>
        <v>0</v>
      </c>
      <c r="N23" s="3">
        <v>20</v>
      </c>
      <c r="O23" s="35">
        <f t="shared" si="6"/>
        <v>130.33759680257467</v>
      </c>
      <c r="P23" s="35">
        <f t="shared" si="7"/>
        <v>0.73654879601174017</v>
      </c>
      <c r="Q23" s="48">
        <f t="shared" si="8"/>
        <v>99.47260102767531</v>
      </c>
      <c r="U23" s="29" t="s">
        <v>16</v>
      </c>
      <c r="V23" s="29">
        <v>21.745525059637789</v>
      </c>
      <c r="W23" s="29">
        <v>5.8876024516480978</v>
      </c>
      <c r="X23" s="29">
        <v>3.6934431694773537</v>
      </c>
      <c r="Y23" s="29">
        <v>3.3772929986144887E-4</v>
      </c>
      <c r="Z23" s="29">
        <v>10.085436922268794</v>
      </c>
      <c r="AA23" s="29">
        <v>33.405613197006787</v>
      </c>
      <c r="AB23" s="29">
        <v>10.085436922268794</v>
      </c>
      <c r="AC23" s="29">
        <v>33.405613197006787</v>
      </c>
    </row>
    <row r="24" spans="2:29" x14ac:dyDescent="0.3">
      <c r="B24" s="9">
        <v>42359</v>
      </c>
      <c r="C24" s="3" t="s">
        <v>10</v>
      </c>
      <c r="D24" s="3" t="s">
        <v>14</v>
      </c>
      <c r="E24" s="3" t="s">
        <v>15</v>
      </c>
      <c r="F24" s="5" t="s">
        <v>13</v>
      </c>
      <c r="G24" s="25">
        <v>133</v>
      </c>
      <c r="H24" s="3">
        <f t="shared" si="0"/>
        <v>0</v>
      </c>
      <c r="I24" s="3">
        <f t="shared" si="1"/>
        <v>0</v>
      </c>
      <c r="J24" s="3">
        <f t="shared" si="2"/>
        <v>0</v>
      </c>
      <c r="K24" s="3">
        <f t="shared" si="3"/>
        <v>0</v>
      </c>
      <c r="L24" s="3">
        <f t="shared" si="4"/>
        <v>1</v>
      </c>
      <c r="M24" s="35">
        <f t="shared" si="5"/>
        <v>0</v>
      </c>
      <c r="N24" s="3">
        <v>21</v>
      </c>
      <c r="O24" s="35">
        <f t="shared" si="6"/>
        <v>126.96118691069142</v>
      </c>
      <c r="P24" s="35">
        <f t="shared" si="7"/>
        <v>1.0475642457057091</v>
      </c>
      <c r="Q24" s="48">
        <f t="shared" si="8"/>
        <v>133.08308318396502</v>
      </c>
      <c r="U24" s="29" t="s">
        <v>11</v>
      </c>
      <c r="V24" s="29">
        <v>18.639713629078653</v>
      </c>
      <c r="W24" s="29">
        <v>8.0197464125433466</v>
      </c>
      <c r="X24" s="29">
        <v>2.3242273097220463</v>
      </c>
      <c r="Y24" s="29">
        <v>2.1838596432961408E-2</v>
      </c>
      <c r="Z24" s="29">
        <v>2.7570261043073412</v>
      </c>
      <c r="AA24" s="29">
        <v>34.522401153849962</v>
      </c>
      <c r="AB24" s="29">
        <v>2.7570261043073412</v>
      </c>
      <c r="AC24" s="29">
        <v>34.522401153849962</v>
      </c>
    </row>
    <row r="25" spans="2:29" x14ac:dyDescent="0.3">
      <c r="B25" s="9">
        <v>42360</v>
      </c>
      <c r="C25" s="3" t="s">
        <v>4</v>
      </c>
      <c r="D25" s="3" t="s">
        <v>14</v>
      </c>
      <c r="E25" s="3" t="s">
        <v>16</v>
      </c>
      <c r="F25" s="5" t="s">
        <v>13</v>
      </c>
      <c r="G25" s="25">
        <v>158</v>
      </c>
      <c r="H25" s="3">
        <f t="shared" si="0"/>
        <v>0</v>
      </c>
      <c r="I25" s="3">
        <f t="shared" si="1"/>
        <v>1</v>
      </c>
      <c r="J25" s="3">
        <f t="shared" si="2"/>
        <v>0</v>
      </c>
      <c r="K25" s="3">
        <f t="shared" si="3"/>
        <v>0</v>
      </c>
      <c r="L25" s="3">
        <f t="shared" si="4"/>
        <v>1</v>
      </c>
      <c r="M25" s="35">
        <f t="shared" si="5"/>
        <v>0</v>
      </c>
      <c r="N25" s="3">
        <v>22</v>
      </c>
      <c r="O25" s="35">
        <f t="shared" si="6"/>
        <v>148.92891197430771</v>
      </c>
      <c r="P25" s="35">
        <f t="shared" si="7"/>
        <v>1.0609088450686941</v>
      </c>
      <c r="Q25" s="48">
        <f t="shared" si="8"/>
        <v>162.84000354441937</v>
      </c>
      <c r="U25" s="29" t="s">
        <v>31</v>
      </c>
      <c r="V25" s="29">
        <v>-45.462791905994457</v>
      </c>
      <c r="W25" s="29">
        <v>16.159539882786447</v>
      </c>
      <c r="X25" s="29">
        <v>-2.8133716823473778</v>
      </c>
      <c r="Y25" s="29">
        <v>5.7521756620320663E-3</v>
      </c>
      <c r="Z25" s="29">
        <v>-77.465913862687557</v>
      </c>
      <c r="AA25" s="29">
        <v>-13.45966994930135</v>
      </c>
      <c r="AB25" s="29">
        <v>-77.465913862687557</v>
      </c>
      <c r="AC25" s="29">
        <v>-13.45966994930135</v>
      </c>
    </row>
    <row r="26" spans="2:29" x14ac:dyDescent="0.3">
      <c r="B26" s="9">
        <v>42361</v>
      </c>
      <c r="C26" s="3" t="s">
        <v>5</v>
      </c>
      <c r="D26" s="3" t="s">
        <v>14</v>
      </c>
      <c r="E26" s="3" t="s">
        <v>29</v>
      </c>
      <c r="F26" s="5" t="s">
        <v>13</v>
      </c>
      <c r="G26" s="25">
        <v>178</v>
      </c>
      <c r="H26" s="3">
        <f t="shared" si="0"/>
        <v>1</v>
      </c>
      <c r="I26" s="3">
        <f t="shared" si="1"/>
        <v>0</v>
      </c>
      <c r="J26" s="3">
        <f t="shared" si="2"/>
        <v>0</v>
      </c>
      <c r="K26" s="3">
        <f t="shared" si="3"/>
        <v>0</v>
      </c>
      <c r="L26" s="3">
        <f t="shared" si="4"/>
        <v>1</v>
      </c>
      <c r="M26" s="35">
        <f t="shared" si="5"/>
        <v>0</v>
      </c>
      <c r="N26" s="3">
        <v>23</v>
      </c>
      <c r="O26" s="35">
        <f t="shared" si="6"/>
        <v>159.79522055308263</v>
      </c>
      <c r="P26" s="35">
        <f t="shared" si="7"/>
        <v>1.113925681781389</v>
      </c>
      <c r="Q26" s="48">
        <f t="shared" si="8"/>
        <v>187.75681562016246</v>
      </c>
      <c r="U26" s="29" t="s">
        <v>14</v>
      </c>
      <c r="V26" s="29">
        <v>15.041103733216898</v>
      </c>
      <c r="W26" s="29">
        <v>8.6075553437340471</v>
      </c>
      <c r="X26" s="29">
        <v>1.7474303832581473</v>
      </c>
      <c r="Y26" s="29">
        <v>8.318641264241193E-2</v>
      </c>
      <c r="Z26" s="29">
        <v>-2.0057085778156942</v>
      </c>
      <c r="AA26" s="29">
        <v>32.087916044249489</v>
      </c>
      <c r="AB26" s="29">
        <v>-2.0057085778156942</v>
      </c>
      <c r="AC26" s="29">
        <v>32.087916044249489</v>
      </c>
    </row>
    <row r="27" spans="2:29" x14ac:dyDescent="0.3">
      <c r="B27" s="9">
        <v>42362</v>
      </c>
      <c r="C27" s="3" t="s">
        <v>6</v>
      </c>
      <c r="D27" s="3" t="s">
        <v>26</v>
      </c>
      <c r="E27" s="3" t="s">
        <v>29</v>
      </c>
      <c r="F27" s="5" t="s">
        <v>13</v>
      </c>
      <c r="G27" s="25">
        <v>134</v>
      </c>
      <c r="H27" s="3">
        <f t="shared" si="0"/>
        <v>1</v>
      </c>
      <c r="I27" s="3">
        <f t="shared" si="1"/>
        <v>0</v>
      </c>
      <c r="J27" s="3">
        <f t="shared" si="2"/>
        <v>0</v>
      </c>
      <c r="K27" s="3">
        <f t="shared" si="3"/>
        <v>0</v>
      </c>
      <c r="L27" s="3">
        <f t="shared" si="4"/>
        <v>0</v>
      </c>
      <c r="M27" s="35">
        <f t="shared" si="5"/>
        <v>0</v>
      </c>
      <c r="N27" s="3">
        <v>24</v>
      </c>
      <c r="O27" s="35">
        <f t="shared" si="6"/>
        <v>144.97631682384426</v>
      </c>
      <c r="P27" s="35">
        <f t="shared" si="7"/>
        <v>0.92428889721911478</v>
      </c>
      <c r="Q27" s="48">
        <f t="shared" si="8"/>
        <v>146.60414541998591</v>
      </c>
      <c r="U27" s="29" t="s">
        <v>33</v>
      </c>
      <c r="V27" s="29">
        <v>-45.962716905024003</v>
      </c>
      <c r="W27" s="29">
        <v>7.7398613458906969</v>
      </c>
      <c r="X27" s="29">
        <v>-5.9384418985007867</v>
      </c>
      <c r="Y27" s="29">
        <v>3.0194336066750028E-8</v>
      </c>
      <c r="Z27" s="29">
        <v>-61.291106721635728</v>
      </c>
      <c r="AA27" s="29">
        <v>-30.634327088412277</v>
      </c>
      <c r="AB27" s="29">
        <v>-61.291106721635728</v>
      </c>
      <c r="AC27" s="29">
        <v>-30.634327088412277</v>
      </c>
    </row>
    <row r="28" spans="2:29" ht="15" thickBot="1" x14ac:dyDescent="0.35">
      <c r="B28" s="9">
        <v>42363</v>
      </c>
      <c r="C28" s="3" t="s">
        <v>7</v>
      </c>
      <c r="D28" s="3" t="s">
        <v>26</v>
      </c>
      <c r="E28" s="3" t="s">
        <v>16</v>
      </c>
      <c r="F28" s="5" t="s">
        <v>30</v>
      </c>
      <c r="G28" s="25">
        <v>99</v>
      </c>
      <c r="H28" s="3">
        <f t="shared" si="0"/>
        <v>0</v>
      </c>
      <c r="I28" s="3">
        <f t="shared" si="1"/>
        <v>1</v>
      </c>
      <c r="J28" s="3">
        <f t="shared" si="2"/>
        <v>0</v>
      </c>
      <c r="K28" s="3">
        <f t="shared" si="3"/>
        <v>0</v>
      </c>
      <c r="L28" s="3">
        <f t="shared" si="4"/>
        <v>0</v>
      </c>
      <c r="M28" s="35">
        <f t="shared" si="5"/>
        <v>1</v>
      </c>
      <c r="N28" s="3">
        <v>25</v>
      </c>
      <c r="O28" s="35">
        <f t="shared" si="6"/>
        <v>88.591691348002414</v>
      </c>
      <c r="P28" s="35">
        <f t="shared" si="7"/>
        <v>1.11748628447686</v>
      </c>
      <c r="Q28" s="48">
        <f t="shared" si="8"/>
        <v>90.769261791125587</v>
      </c>
      <c r="U28" s="30" t="s">
        <v>34</v>
      </c>
      <c r="V28" s="30">
        <v>0.22220000397852274</v>
      </c>
      <c r="W28" s="30">
        <v>6.2447342817377918E-2</v>
      </c>
      <c r="X28" s="30">
        <v>3.5581978984810969</v>
      </c>
      <c r="Y28" s="30">
        <v>5.4045011003669258E-4</v>
      </c>
      <c r="Z28" s="30">
        <v>9.852631385168735E-2</v>
      </c>
      <c r="AA28" s="30">
        <v>0.34587369410535812</v>
      </c>
      <c r="AB28" s="30">
        <v>9.852631385168735E-2</v>
      </c>
      <c r="AC28" s="30">
        <v>0.34587369410535812</v>
      </c>
    </row>
    <row r="29" spans="2:29" x14ac:dyDescent="0.3">
      <c r="B29" s="9">
        <v>42364</v>
      </c>
      <c r="C29" s="3" t="s">
        <v>8</v>
      </c>
      <c r="D29" s="3" t="s">
        <v>14</v>
      </c>
      <c r="E29" s="3" t="s">
        <v>15</v>
      </c>
      <c r="F29" s="5" t="s">
        <v>13</v>
      </c>
      <c r="G29" s="25">
        <v>120</v>
      </c>
      <c r="H29" s="3">
        <f t="shared" si="0"/>
        <v>0</v>
      </c>
      <c r="I29" s="3">
        <f t="shared" si="1"/>
        <v>0</v>
      </c>
      <c r="J29" s="3">
        <f t="shared" si="2"/>
        <v>0</v>
      </c>
      <c r="K29" s="3">
        <f t="shared" si="3"/>
        <v>0</v>
      </c>
      <c r="L29" s="3">
        <f t="shared" si="4"/>
        <v>1</v>
      </c>
      <c r="M29" s="35">
        <f t="shared" si="5"/>
        <v>0</v>
      </c>
      <c r="N29" s="3">
        <v>26</v>
      </c>
      <c r="O29" s="35">
        <f t="shared" si="6"/>
        <v>128.07218693058405</v>
      </c>
      <c r="P29" s="35">
        <f t="shared" si="7"/>
        <v>0.93697158513456769</v>
      </c>
      <c r="Q29" s="48">
        <f t="shared" si="8"/>
        <v>114.05727502124641</v>
      </c>
    </row>
    <row r="30" spans="2:29" x14ac:dyDescent="0.3">
      <c r="B30" s="9">
        <v>42365</v>
      </c>
      <c r="C30" s="3" t="s">
        <v>9</v>
      </c>
      <c r="D30" s="3" t="s">
        <v>14</v>
      </c>
      <c r="E30" s="3" t="s">
        <v>29</v>
      </c>
      <c r="F30" s="5" t="s">
        <v>13</v>
      </c>
      <c r="G30" s="25">
        <v>113</v>
      </c>
      <c r="H30" s="3">
        <f t="shared" si="0"/>
        <v>1</v>
      </c>
      <c r="I30" s="3">
        <f t="shared" si="1"/>
        <v>0</v>
      </c>
      <c r="J30" s="3">
        <f t="shared" si="2"/>
        <v>0</v>
      </c>
      <c r="K30" s="3">
        <f t="shared" si="3"/>
        <v>0</v>
      </c>
      <c r="L30" s="3">
        <f t="shared" si="4"/>
        <v>1</v>
      </c>
      <c r="M30" s="35">
        <f t="shared" si="5"/>
        <v>0</v>
      </c>
      <c r="N30" s="3">
        <v>27</v>
      </c>
      <c r="O30" s="35">
        <f t="shared" si="6"/>
        <v>160.68402056899671</v>
      </c>
      <c r="P30" s="35">
        <f t="shared" si="7"/>
        <v>0.70324354344543238</v>
      </c>
      <c r="Q30" s="48">
        <f t="shared" si="8"/>
        <v>122.63274651130321</v>
      </c>
    </row>
    <row r="31" spans="2:29" x14ac:dyDescent="0.3">
      <c r="B31" s="9">
        <v>42366</v>
      </c>
      <c r="C31" s="3" t="s">
        <v>10</v>
      </c>
      <c r="D31" s="3" t="s">
        <v>11</v>
      </c>
      <c r="E31" s="3" t="s">
        <v>15</v>
      </c>
      <c r="F31" s="5" t="s">
        <v>13</v>
      </c>
      <c r="G31" s="25">
        <v>138</v>
      </c>
      <c r="H31" s="3">
        <f t="shared" si="0"/>
        <v>0</v>
      </c>
      <c r="I31" s="3">
        <f t="shared" si="1"/>
        <v>0</v>
      </c>
      <c r="J31" s="3">
        <f t="shared" si="2"/>
        <v>1</v>
      </c>
      <c r="K31" s="3">
        <f t="shared" si="3"/>
        <v>0</v>
      </c>
      <c r="L31" s="3">
        <f t="shared" si="4"/>
        <v>0</v>
      </c>
      <c r="M31" s="35">
        <f t="shared" si="5"/>
        <v>0</v>
      </c>
      <c r="N31" s="3">
        <v>28</v>
      </c>
      <c r="O31" s="35">
        <f t="shared" si="6"/>
        <v>132.11519683440284</v>
      </c>
      <c r="P31" s="35">
        <f t="shared" si="7"/>
        <v>1.0445429693676598</v>
      </c>
      <c r="Q31" s="48">
        <f t="shared" si="8"/>
        <v>138.48561247735259</v>
      </c>
    </row>
    <row r="32" spans="2:29" ht="15" thickBot="1" x14ac:dyDescent="0.35">
      <c r="B32" s="9">
        <v>42367</v>
      </c>
      <c r="C32" s="3" t="s">
        <v>4</v>
      </c>
      <c r="D32" s="3" t="s">
        <v>11</v>
      </c>
      <c r="E32" s="3" t="s">
        <v>29</v>
      </c>
      <c r="F32" s="5" t="s">
        <v>13</v>
      </c>
      <c r="G32" s="25">
        <v>183</v>
      </c>
      <c r="H32" s="3">
        <f t="shared" si="0"/>
        <v>1</v>
      </c>
      <c r="I32" s="3">
        <f t="shared" si="1"/>
        <v>0</v>
      </c>
      <c r="J32" s="3">
        <f t="shared" si="2"/>
        <v>1</v>
      </c>
      <c r="K32" s="3">
        <f t="shared" si="3"/>
        <v>0</v>
      </c>
      <c r="L32" s="3">
        <f t="shared" si="4"/>
        <v>0</v>
      </c>
      <c r="M32" s="35">
        <f t="shared" si="5"/>
        <v>0</v>
      </c>
      <c r="N32" s="3">
        <v>29</v>
      </c>
      <c r="O32" s="35">
        <f t="shared" si="6"/>
        <v>164.72703047281553</v>
      </c>
      <c r="P32" s="35">
        <f t="shared" si="7"/>
        <v>1.1109287860937918</v>
      </c>
      <c r="Q32" s="48">
        <f t="shared" si="8"/>
        <v>180.11378630552605</v>
      </c>
    </row>
    <row r="33" spans="2:25" ht="15" thickBot="1" x14ac:dyDescent="0.35">
      <c r="B33" s="9">
        <v>42368</v>
      </c>
      <c r="C33" s="3" t="s">
        <v>5</v>
      </c>
      <c r="D33" s="3" t="s">
        <v>11</v>
      </c>
      <c r="E33" s="3" t="s">
        <v>16</v>
      </c>
      <c r="F33" s="5" t="s">
        <v>13</v>
      </c>
      <c r="G33" s="25">
        <v>183</v>
      </c>
      <c r="H33" s="3">
        <f t="shared" si="0"/>
        <v>0</v>
      </c>
      <c r="I33" s="3">
        <f t="shared" si="1"/>
        <v>1</v>
      </c>
      <c r="J33" s="3">
        <f t="shared" si="2"/>
        <v>1</v>
      </c>
      <c r="K33" s="3">
        <f t="shared" si="3"/>
        <v>0</v>
      </c>
      <c r="L33" s="3">
        <f t="shared" si="4"/>
        <v>0</v>
      </c>
      <c r="M33" s="35">
        <f t="shared" si="5"/>
        <v>0</v>
      </c>
      <c r="N33" s="3">
        <v>30</v>
      </c>
      <c r="O33" s="35">
        <f t="shared" si="6"/>
        <v>154.30512190199767</v>
      </c>
      <c r="P33" s="35">
        <f t="shared" si="7"/>
        <v>1.1859619288349161</v>
      </c>
      <c r="Q33" s="48">
        <f t="shared" si="8"/>
        <v>181.30603795234205</v>
      </c>
      <c r="U33" s="51" t="s">
        <v>65</v>
      </c>
      <c r="V33" s="52" t="s">
        <v>64</v>
      </c>
      <c r="X33" s="39" t="s">
        <v>71</v>
      </c>
      <c r="Y33" s="39" t="s">
        <v>72</v>
      </c>
    </row>
    <row r="34" spans="2:25" x14ac:dyDescent="0.3">
      <c r="B34" s="9">
        <v>42369</v>
      </c>
      <c r="C34" s="3" t="s">
        <v>6</v>
      </c>
      <c r="D34" s="3" t="s">
        <v>11</v>
      </c>
      <c r="E34" s="3" t="s">
        <v>29</v>
      </c>
      <c r="F34" s="5" t="s">
        <v>30</v>
      </c>
      <c r="G34" s="25">
        <v>111</v>
      </c>
      <c r="H34" s="3">
        <f t="shared" si="0"/>
        <v>1</v>
      </c>
      <c r="I34" s="3">
        <f t="shared" si="1"/>
        <v>0</v>
      </c>
      <c r="J34" s="3">
        <f t="shared" si="2"/>
        <v>1</v>
      </c>
      <c r="K34" s="3">
        <f t="shared" si="3"/>
        <v>0</v>
      </c>
      <c r="L34" s="3">
        <f t="shared" si="4"/>
        <v>0</v>
      </c>
      <c r="M34" s="35">
        <f t="shared" si="5"/>
        <v>1</v>
      </c>
      <c r="N34" s="3">
        <v>31</v>
      </c>
      <c r="O34" s="35">
        <f t="shared" si="6"/>
        <v>119.20871357574856</v>
      </c>
      <c r="P34" s="35">
        <f t="shared" si="7"/>
        <v>0.93113998692274691</v>
      </c>
      <c r="Q34" s="48">
        <f t="shared" si="8"/>
        <v>120.54721738877926</v>
      </c>
      <c r="U34" s="4" t="s">
        <v>4</v>
      </c>
      <c r="V34" s="48">
        <f>SUMIF($C$4:$C$128,$U$34,$P$4:$P$128)/COUNTIF($C$4:$C$128,$U$34)</f>
        <v>1.0934075955145064</v>
      </c>
      <c r="X34" s="40" t="s">
        <v>59</v>
      </c>
      <c r="Y34" s="41">
        <f>SUMXMY2($G$4:$G$128,$O$4:$O$128)/COUNT($G$4:$G$128)</f>
        <v>530.59706271558446</v>
      </c>
    </row>
    <row r="35" spans="2:25" ht="15" thickBot="1" x14ac:dyDescent="0.35">
      <c r="B35" s="9">
        <v>42370</v>
      </c>
      <c r="C35" s="3" t="s">
        <v>7</v>
      </c>
      <c r="D35" s="3" t="s">
        <v>11</v>
      </c>
      <c r="E35" s="3" t="s">
        <v>15</v>
      </c>
      <c r="F35" s="5" t="s">
        <v>30</v>
      </c>
      <c r="G35" s="25">
        <v>97</v>
      </c>
      <c r="H35" s="3">
        <f t="shared" si="0"/>
        <v>0</v>
      </c>
      <c r="I35" s="3">
        <f t="shared" si="1"/>
        <v>0</v>
      </c>
      <c r="J35" s="3">
        <f t="shared" si="2"/>
        <v>1</v>
      </c>
      <c r="K35" s="3">
        <f t="shared" si="3"/>
        <v>0</v>
      </c>
      <c r="L35" s="3">
        <f t="shared" si="4"/>
        <v>0</v>
      </c>
      <c r="M35" s="35">
        <f t="shared" si="5"/>
        <v>1</v>
      </c>
      <c r="N35" s="3">
        <v>32</v>
      </c>
      <c r="O35" s="35">
        <f t="shared" si="6"/>
        <v>87.041279945292942</v>
      </c>
      <c r="P35" s="35">
        <f t="shared" si="7"/>
        <v>1.1144137593216266</v>
      </c>
      <c r="Q35" s="48">
        <f t="shared" si="8"/>
        <v>89.180741509424763</v>
      </c>
      <c r="U35" s="4" t="s">
        <v>5</v>
      </c>
      <c r="V35" s="48">
        <f>SUMIF($C$4:$C$128,$U$35,$P$4:$P$128)/COUNTIF($C$4:$C$128,$U$35)</f>
        <v>1.1749839261168091</v>
      </c>
      <c r="X35" s="42" t="s">
        <v>67</v>
      </c>
      <c r="Y35" s="43">
        <f>SUMXMY2($G$4:$G$128,$Q$4:$Q$128)/COUNT($G$4:$G$128)</f>
        <v>186.82246433732718</v>
      </c>
    </row>
    <row r="36" spans="2:25" x14ac:dyDescent="0.3">
      <c r="B36" s="9">
        <v>42371</v>
      </c>
      <c r="C36" s="3" t="s">
        <v>8</v>
      </c>
      <c r="D36" s="3" t="s">
        <v>11</v>
      </c>
      <c r="E36" s="3" t="s">
        <v>12</v>
      </c>
      <c r="F36" s="5" t="s">
        <v>13</v>
      </c>
      <c r="G36" s="25">
        <v>121</v>
      </c>
      <c r="H36" s="3">
        <f t="shared" ref="H36:H67" si="9">IF(E36=$H$3,1,0)</f>
        <v>0</v>
      </c>
      <c r="I36" s="3">
        <f t="shared" ref="I36:I67" si="10">IF(E36=$I$3,1,0)</f>
        <v>0</v>
      </c>
      <c r="J36" s="3">
        <f t="shared" ref="J36:J67" si="11">IF(D36=J$3,1,0)</f>
        <v>1</v>
      </c>
      <c r="K36" s="3">
        <f t="shared" ref="K36:K67" si="12">IF(D36=K$3,1,0)</f>
        <v>0</v>
      </c>
      <c r="L36" s="3">
        <f t="shared" ref="L36:L67" si="13">IF(D36=L$3,1,0)</f>
        <v>0</v>
      </c>
      <c r="M36" s="35">
        <f t="shared" ref="M36:M67" si="14">IF(F36="Yes",1,0)</f>
        <v>0</v>
      </c>
      <c r="N36" s="3">
        <v>33</v>
      </c>
      <c r="O36" s="35">
        <f t="shared" si="6"/>
        <v>133.22619685429547</v>
      </c>
      <c r="P36" s="35">
        <f t="shared" si="7"/>
        <v>0.90822978405916066</v>
      </c>
      <c r="Q36" s="48">
        <f t="shared" si="8"/>
        <v>118.6472827459494</v>
      </c>
      <c r="U36" s="4" t="s">
        <v>6</v>
      </c>
      <c r="V36" s="48">
        <f>SUMIF($C$4:$C$128,$U$36,$P$4:$P$128)/COUNTIF($C$4:$C$128,$U$36)</f>
        <v>1.0112282380446977</v>
      </c>
    </row>
    <row r="37" spans="2:25" x14ac:dyDescent="0.3">
      <c r="B37" s="9">
        <v>42372</v>
      </c>
      <c r="C37" s="3" t="s">
        <v>9</v>
      </c>
      <c r="D37" s="3" t="s">
        <v>11</v>
      </c>
      <c r="E37" s="3" t="s">
        <v>15</v>
      </c>
      <c r="F37" s="5" t="s">
        <v>13</v>
      </c>
      <c r="G37" s="25">
        <v>102</v>
      </c>
      <c r="H37" s="3">
        <f t="shared" si="9"/>
        <v>0</v>
      </c>
      <c r="I37" s="3">
        <f t="shared" si="10"/>
        <v>0</v>
      </c>
      <c r="J37" s="3">
        <f t="shared" si="11"/>
        <v>1</v>
      </c>
      <c r="K37" s="3">
        <f t="shared" si="12"/>
        <v>0</v>
      </c>
      <c r="L37" s="3">
        <f t="shared" si="13"/>
        <v>0</v>
      </c>
      <c r="M37" s="35">
        <f t="shared" si="14"/>
        <v>0</v>
      </c>
      <c r="N37" s="3">
        <v>34</v>
      </c>
      <c r="O37" s="35">
        <f t="shared" si="6"/>
        <v>133.44839685827398</v>
      </c>
      <c r="P37" s="35">
        <f t="shared" si="7"/>
        <v>0.76434039225159756</v>
      </c>
      <c r="Q37" s="48">
        <f t="shared" si="8"/>
        <v>101.84673850150155</v>
      </c>
      <c r="U37" s="4" t="s">
        <v>7</v>
      </c>
      <c r="V37" s="48">
        <f>SUMIF($C$4:$C$128,$U$37,$P$4:$P$128)/COUNTIF($C$4:$C$128,$U$37)</f>
        <v>1.024579849532044</v>
      </c>
    </row>
    <row r="38" spans="2:25" x14ac:dyDescent="0.3">
      <c r="B38" s="9">
        <v>42373</v>
      </c>
      <c r="C38" s="3" t="s">
        <v>10</v>
      </c>
      <c r="D38" s="3" t="s">
        <v>11</v>
      </c>
      <c r="E38" s="3" t="s">
        <v>15</v>
      </c>
      <c r="F38" s="5" t="s">
        <v>13</v>
      </c>
      <c r="G38" s="25">
        <v>137</v>
      </c>
      <c r="H38" s="3">
        <f t="shared" si="9"/>
        <v>0</v>
      </c>
      <c r="I38" s="3">
        <f t="shared" si="10"/>
        <v>0</v>
      </c>
      <c r="J38" s="3">
        <f t="shared" si="11"/>
        <v>1</v>
      </c>
      <c r="K38" s="3">
        <f t="shared" si="12"/>
        <v>0</v>
      </c>
      <c r="L38" s="3">
        <f t="shared" si="13"/>
        <v>0</v>
      </c>
      <c r="M38" s="35">
        <f t="shared" si="14"/>
        <v>0</v>
      </c>
      <c r="N38" s="3">
        <v>35</v>
      </c>
      <c r="O38" s="35">
        <f t="shared" si="6"/>
        <v>133.67059686225249</v>
      </c>
      <c r="P38" s="35">
        <f t="shared" si="7"/>
        <v>1.0249075205460365</v>
      </c>
      <c r="Q38" s="48">
        <f t="shared" si="8"/>
        <v>140.1160117854204</v>
      </c>
      <c r="U38" s="4" t="s">
        <v>8</v>
      </c>
      <c r="V38" s="48">
        <f>SUMIF($C$4:$C$128,$U$38,$P$4:$P$128)/COUNTIF($C$4:$C$128,$U$38)</f>
        <v>0.89057021477322151</v>
      </c>
    </row>
    <row r="39" spans="2:25" x14ac:dyDescent="0.3">
      <c r="B39" s="9">
        <v>42374</v>
      </c>
      <c r="C39" s="3" t="s">
        <v>4</v>
      </c>
      <c r="D39" s="3" t="s">
        <v>11</v>
      </c>
      <c r="E39" s="3" t="s">
        <v>12</v>
      </c>
      <c r="F39" s="5" t="s">
        <v>13</v>
      </c>
      <c r="G39" s="25">
        <v>147</v>
      </c>
      <c r="H39" s="3">
        <f t="shared" si="9"/>
        <v>0</v>
      </c>
      <c r="I39" s="3">
        <f t="shared" si="10"/>
        <v>0</v>
      </c>
      <c r="J39" s="3">
        <f t="shared" si="11"/>
        <v>1</v>
      </c>
      <c r="K39" s="3">
        <f t="shared" si="12"/>
        <v>0</v>
      </c>
      <c r="L39" s="3">
        <f t="shared" si="13"/>
        <v>0</v>
      </c>
      <c r="M39" s="35">
        <f t="shared" si="14"/>
        <v>0</v>
      </c>
      <c r="N39" s="3">
        <v>36</v>
      </c>
      <c r="O39" s="35">
        <f t="shared" si="6"/>
        <v>133.89279686623104</v>
      </c>
      <c r="P39" s="35">
        <f t="shared" si="7"/>
        <v>1.0978932656613638</v>
      </c>
      <c r="Q39" s="48">
        <f t="shared" si="8"/>
        <v>146.39940107821792</v>
      </c>
      <c r="U39" s="4" t="s">
        <v>9</v>
      </c>
      <c r="V39" s="48">
        <f>SUMIF($C$4:$C$128,$U$39,$P$4:$P$128)/COUNTIF($C$4:$C$128,$U$39)</f>
        <v>0.76319192211552533</v>
      </c>
      <c r="W39">
        <v>1</v>
      </c>
      <c r="X39" s="33" t="str">
        <f>_xlfn.CONCAT("Significance of F value is ",IF(Z16&lt;0.05,"less","greater")," than 0.05 which means model is ",IF(Z16&lt;0.05,"good fit","not good fit"))</f>
        <v>Significance of F value is less than 0.05 which means model is good fit</v>
      </c>
    </row>
    <row r="40" spans="2:25" ht="15" thickBot="1" x14ac:dyDescent="0.35">
      <c r="B40" s="9">
        <v>42375</v>
      </c>
      <c r="C40" s="3" t="s">
        <v>5</v>
      </c>
      <c r="D40" s="3" t="s">
        <v>11</v>
      </c>
      <c r="E40" s="3" t="s">
        <v>12</v>
      </c>
      <c r="F40" s="5" t="s">
        <v>13</v>
      </c>
      <c r="G40" s="25">
        <v>151</v>
      </c>
      <c r="H40" s="3">
        <f t="shared" si="9"/>
        <v>0</v>
      </c>
      <c r="I40" s="3">
        <f t="shared" si="10"/>
        <v>0</v>
      </c>
      <c r="J40" s="3">
        <f t="shared" si="11"/>
        <v>1</v>
      </c>
      <c r="K40" s="3">
        <f t="shared" si="12"/>
        <v>0</v>
      </c>
      <c r="L40" s="3">
        <f t="shared" si="13"/>
        <v>0</v>
      </c>
      <c r="M40" s="35">
        <f t="shared" si="14"/>
        <v>0</v>
      </c>
      <c r="N40" s="3">
        <v>37</v>
      </c>
      <c r="O40" s="35">
        <f t="shared" si="6"/>
        <v>134.11499687020955</v>
      </c>
      <c r="P40" s="35">
        <f t="shared" si="7"/>
        <v>1.1258994409561147</v>
      </c>
      <c r="Q40" s="48">
        <f t="shared" si="8"/>
        <v>157.58296557370238</v>
      </c>
      <c r="U40" s="6" t="s">
        <v>10</v>
      </c>
      <c r="V40" s="43">
        <f>SUMIF($C$4:$C$128,$U$40,$P$4:$P$128)/COUNTIF($C$4:$C$128,$U$40)</f>
        <v>1.0482186439984995</v>
      </c>
      <c r="W40">
        <v>2</v>
      </c>
      <c r="X40" s="33" t="s">
        <v>84</v>
      </c>
    </row>
    <row r="41" spans="2:25" x14ac:dyDescent="0.3">
      <c r="B41" s="9">
        <v>42376</v>
      </c>
      <c r="C41" s="3" t="s">
        <v>6</v>
      </c>
      <c r="D41" s="3" t="s">
        <v>11</v>
      </c>
      <c r="E41" s="3" t="s">
        <v>12</v>
      </c>
      <c r="F41" s="5" t="s">
        <v>13</v>
      </c>
      <c r="G41" s="25">
        <v>142</v>
      </c>
      <c r="H41" s="3">
        <f t="shared" si="9"/>
        <v>0</v>
      </c>
      <c r="I41" s="3">
        <f t="shared" si="10"/>
        <v>0</v>
      </c>
      <c r="J41" s="3">
        <f t="shared" si="11"/>
        <v>1</v>
      </c>
      <c r="K41" s="3">
        <f t="shared" si="12"/>
        <v>0</v>
      </c>
      <c r="L41" s="3">
        <f t="shared" si="13"/>
        <v>0</v>
      </c>
      <c r="M41" s="35">
        <f t="shared" si="14"/>
        <v>0</v>
      </c>
      <c r="N41" s="3">
        <v>38</v>
      </c>
      <c r="O41" s="35">
        <f t="shared" si="6"/>
        <v>134.33719687418807</v>
      </c>
      <c r="P41" s="35">
        <f t="shared" si="7"/>
        <v>1.0570415588840107</v>
      </c>
      <c r="Q41" s="48">
        <f t="shared" si="8"/>
        <v>135.84556689894887</v>
      </c>
      <c r="X41" s="29" t="s">
        <v>32</v>
      </c>
    </row>
    <row r="42" spans="2:25" x14ac:dyDescent="0.3">
      <c r="B42" s="9">
        <v>42377</v>
      </c>
      <c r="C42" s="3" t="s">
        <v>7</v>
      </c>
      <c r="D42" s="3" t="s">
        <v>11</v>
      </c>
      <c r="E42" s="3" t="s">
        <v>15</v>
      </c>
      <c r="F42" s="5" t="s">
        <v>13</v>
      </c>
      <c r="G42" s="25">
        <v>140</v>
      </c>
      <c r="H42" s="3">
        <f t="shared" si="9"/>
        <v>0</v>
      </c>
      <c r="I42" s="3">
        <f t="shared" si="10"/>
        <v>0</v>
      </c>
      <c r="J42" s="3">
        <f t="shared" si="11"/>
        <v>1</v>
      </c>
      <c r="K42" s="3">
        <f t="shared" si="12"/>
        <v>0</v>
      </c>
      <c r="L42" s="3">
        <f t="shared" si="13"/>
        <v>0</v>
      </c>
      <c r="M42" s="35">
        <f t="shared" si="14"/>
        <v>0</v>
      </c>
      <c r="N42" s="3">
        <v>39</v>
      </c>
      <c r="O42" s="35">
        <f t="shared" si="6"/>
        <v>134.55939687816658</v>
      </c>
      <c r="P42" s="35">
        <f t="shared" si="7"/>
        <v>1.040432725235529</v>
      </c>
      <c r="Q42" s="48">
        <f t="shared" si="8"/>
        <v>137.8668466065545</v>
      </c>
      <c r="X42" s="29" t="s">
        <v>16</v>
      </c>
    </row>
    <row r="43" spans="2:25" x14ac:dyDescent="0.3">
      <c r="B43" s="9">
        <v>42378</v>
      </c>
      <c r="C43" s="3" t="s">
        <v>8</v>
      </c>
      <c r="D43" s="3" t="s">
        <v>11</v>
      </c>
      <c r="E43" s="3" t="s">
        <v>15</v>
      </c>
      <c r="F43" s="5" t="s">
        <v>13</v>
      </c>
      <c r="G43" s="25">
        <v>123</v>
      </c>
      <c r="H43" s="3">
        <f t="shared" si="9"/>
        <v>0</v>
      </c>
      <c r="I43" s="3">
        <f t="shared" si="10"/>
        <v>0</v>
      </c>
      <c r="J43" s="3">
        <f t="shared" si="11"/>
        <v>1</v>
      </c>
      <c r="K43" s="3">
        <f t="shared" si="12"/>
        <v>0</v>
      </c>
      <c r="L43" s="3">
        <f t="shared" si="13"/>
        <v>0</v>
      </c>
      <c r="M43" s="35">
        <f t="shared" si="14"/>
        <v>0</v>
      </c>
      <c r="N43" s="3">
        <v>40</v>
      </c>
      <c r="O43" s="35">
        <f t="shared" si="6"/>
        <v>134.78159688214512</v>
      </c>
      <c r="P43" s="35">
        <f t="shared" si="7"/>
        <v>0.91258749595876121</v>
      </c>
      <c r="Q43" s="48">
        <f t="shared" si="8"/>
        <v>120.03247568280975</v>
      </c>
      <c r="X43" s="29" t="s">
        <v>11</v>
      </c>
    </row>
    <row r="44" spans="2:25" x14ac:dyDescent="0.3">
      <c r="B44" s="9">
        <v>42379</v>
      </c>
      <c r="C44" s="3" t="s">
        <v>9</v>
      </c>
      <c r="D44" s="3" t="s">
        <v>14</v>
      </c>
      <c r="E44" s="3" t="s">
        <v>16</v>
      </c>
      <c r="F44" s="5" t="s">
        <v>13</v>
      </c>
      <c r="G44" s="25">
        <v>109</v>
      </c>
      <c r="H44" s="3">
        <f t="shared" si="9"/>
        <v>0</v>
      </c>
      <c r="I44" s="3">
        <f t="shared" si="10"/>
        <v>1</v>
      </c>
      <c r="J44" s="3">
        <f t="shared" si="11"/>
        <v>0</v>
      </c>
      <c r="K44" s="3">
        <f t="shared" si="12"/>
        <v>0</v>
      </c>
      <c r="L44" s="3">
        <f t="shared" si="13"/>
        <v>1</v>
      </c>
      <c r="M44" s="35">
        <f t="shared" si="14"/>
        <v>0</v>
      </c>
      <c r="N44" s="3">
        <v>41</v>
      </c>
      <c r="O44" s="35">
        <f t="shared" si="6"/>
        <v>153.15071204989965</v>
      </c>
      <c r="P44" s="35">
        <f t="shared" si="7"/>
        <v>0.71171722639125279</v>
      </c>
      <c r="Q44" s="48">
        <f t="shared" si="8"/>
        <v>116.88338630272426</v>
      </c>
      <c r="X44" s="29" t="s">
        <v>14</v>
      </c>
    </row>
    <row r="45" spans="2:25" ht="15" thickBot="1" x14ac:dyDescent="0.35">
      <c r="B45" s="9">
        <v>42380</v>
      </c>
      <c r="C45" s="3" t="s">
        <v>10</v>
      </c>
      <c r="D45" s="3" t="s">
        <v>11</v>
      </c>
      <c r="E45" s="3" t="s">
        <v>12</v>
      </c>
      <c r="F45" s="5" t="s">
        <v>13</v>
      </c>
      <c r="G45" s="25">
        <v>140</v>
      </c>
      <c r="H45" s="3">
        <f t="shared" si="9"/>
        <v>0</v>
      </c>
      <c r="I45" s="3">
        <f t="shared" si="10"/>
        <v>0</v>
      </c>
      <c r="J45" s="3">
        <f t="shared" si="11"/>
        <v>1</v>
      </c>
      <c r="K45" s="3">
        <f t="shared" si="12"/>
        <v>0</v>
      </c>
      <c r="L45" s="3">
        <f t="shared" si="13"/>
        <v>0</v>
      </c>
      <c r="M45" s="35">
        <f t="shared" si="14"/>
        <v>0</v>
      </c>
      <c r="N45" s="3">
        <v>42</v>
      </c>
      <c r="O45" s="35">
        <f t="shared" si="6"/>
        <v>135.22599689010215</v>
      </c>
      <c r="P45" s="35">
        <f t="shared" si="7"/>
        <v>1.0353038854930954</v>
      </c>
      <c r="Q45" s="48">
        <f t="shared" si="8"/>
        <v>141.74641109348818</v>
      </c>
      <c r="X45" s="30" t="s">
        <v>34</v>
      </c>
    </row>
    <row r="46" spans="2:25" x14ac:dyDescent="0.3">
      <c r="B46" s="9">
        <v>42381</v>
      </c>
      <c r="C46" s="3" t="s">
        <v>4</v>
      </c>
      <c r="D46" s="3" t="s">
        <v>11</v>
      </c>
      <c r="E46" s="3" t="s">
        <v>15</v>
      </c>
      <c r="F46" s="5" t="s">
        <v>13</v>
      </c>
      <c r="G46" s="25">
        <v>146</v>
      </c>
      <c r="H46" s="3">
        <f t="shared" si="9"/>
        <v>0</v>
      </c>
      <c r="I46" s="3">
        <f t="shared" si="10"/>
        <v>0</v>
      </c>
      <c r="J46" s="3">
        <f t="shared" si="11"/>
        <v>1</v>
      </c>
      <c r="K46" s="3">
        <f t="shared" si="12"/>
        <v>0</v>
      </c>
      <c r="L46" s="3">
        <f t="shared" si="13"/>
        <v>0</v>
      </c>
      <c r="M46" s="35">
        <f t="shared" si="14"/>
        <v>0</v>
      </c>
      <c r="N46" s="3">
        <v>43</v>
      </c>
      <c r="O46" s="35">
        <f t="shared" si="6"/>
        <v>135.4481968940807</v>
      </c>
      <c r="P46" s="35">
        <f t="shared" si="7"/>
        <v>1.0779028687563166</v>
      </c>
      <c r="Q46" s="48">
        <f t="shared" si="8"/>
        <v>148.1000872827322</v>
      </c>
      <c r="W46">
        <v>3</v>
      </c>
      <c r="X46" s="44" t="s">
        <v>85</v>
      </c>
    </row>
    <row r="47" spans="2:25" x14ac:dyDescent="0.3">
      <c r="B47" s="9">
        <v>42382</v>
      </c>
      <c r="C47" s="3" t="s">
        <v>5</v>
      </c>
      <c r="D47" s="3" t="s">
        <v>11</v>
      </c>
      <c r="E47" s="3" t="s">
        <v>12</v>
      </c>
      <c r="F47" s="5" t="s">
        <v>13</v>
      </c>
      <c r="G47" s="25">
        <v>154</v>
      </c>
      <c r="H47" s="3">
        <f t="shared" si="9"/>
        <v>0</v>
      </c>
      <c r="I47" s="3">
        <f t="shared" si="10"/>
        <v>0</v>
      </c>
      <c r="J47" s="3">
        <f t="shared" si="11"/>
        <v>1</v>
      </c>
      <c r="K47" s="3">
        <f t="shared" si="12"/>
        <v>0</v>
      </c>
      <c r="L47" s="3">
        <f t="shared" si="13"/>
        <v>0</v>
      </c>
      <c r="M47" s="35">
        <f t="shared" si="14"/>
        <v>0</v>
      </c>
      <c r="N47" s="3">
        <v>44</v>
      </c>
      <c r="O47" s="35">
        <f t="shared" si="6"/>
        <v>135.67039689805921</v>
      </c>
      <c r="P47" s="35">
        <f t="shared" si="7"/>
        <v>1.1351039248135568</v>
      </c>
      <c r="Q47" s="48">
        <f t="shared" si="8"/>
        <v>159.41053560510738</v>
      </c>
      <c r="W47">
        <v>4</v>
      </c>
      <c r="X47" s="33" t="str">
        <f>_xlfn.CONCAT("Adjusted R square is ",ROUND(V10,3))</f>
        <v>Adjusted R square is 0.361</v>
      </c>
    </row>
    <row r="48" spans="2:25" x14ac:dyDescent="0.3">
      <c r="B48" s="9">
        <v>42383</v>
      </c>
      <c r="C48" s="3" t="s">
        <v>6</v>
      </c>
      <c r="D48" s="3" t="s">
        <v>11</v>
      </c>
      <c r="E48" s="3" t="s">
        <v>15</v>
      </c>
      <c r="F48" s="5" t="s">
        <v>13</v>
      </c>
      <c r="G48" s="25">
        <v>147</v>
      </c>
      <c r="H48" s="3">
        <f t="shared" si="9"/>
        <v>0</v>
      </c>
      <c r="I48" s="3">
        <f t="shared" si="10"/>
        <v>0</v>
      </c>
      <c r="J48" s="3">
        <f t="shared" si="11"/>
        <v>1</v>
      </c>
      <c r="K48" s="3">
        <f t="shared" si="12"/>
        <v>0</v>
      </c>
      <c r="L48" s="3">
        <f t="shared" si="13"/>
        <v>0</v>
      </c>
      <c r="M48" s="35">
        <f t="shared" si="14"/>
        <v>0</v>
      </c>
      <c r="N48" s="3">
        <v>45</v>
      </c>
      <c r="O48" s="35">
        <f t="shared" si="6"/>
        <v>135.89259690203772</v>
      </c>
      <c r="P48" s="35">
        <f t="shared" si="7"/>
        <v>1.0817366313631447</v>
      </c>
      <c r="Q48" s="48">
        <f t="shared" si="8"/>
        <v>137.41843132856596</v>
      </c>
    </row>
    <row r="49" spans="2:17" x14ac:dyDescent="0.3">
      <c r="B49" s="9">
        <v>42384</v>
      </c>
      <c r="C49" s="3" t="s">
        <v>7</v>
      </c>
      <c r="D49" s="3" t="s">
        <v>11</v>
      </c>
      <c r="E49" s="3" t="s">
        <v>15</v>
      </c>
      <c r="F49" s="5" t="s">
        <v>13</v>
      </c>
      <c r="G49" s="25">
        <v>140</v>
      </c>
      <c r="H49" s="3">
        <f t="shared" si="9"/>
        <v>0</v>
      </c>
      <c r="I49" s="3">
        <f t="shared" si="10"/>
        <v>0</v>
      </c>
      <c r="J49" s="3">
        <f t="shared" si="11"/>
        <v>1</v>
      </c>
      <c r="K49" s="3">
        <f t="shared" si="12"/>
        <v>0</v>
      </c>
      <c r="L49" s="3">
        <f t="shared" si="13"/>
        <v>0</v>
      </c>
      <c r="M49" s="35">
        <f t="shared" si="14"/>
        <v>0</v>
      </c>
      <c r="N49" s="3">
        <v>46</v>
      </c>
      <c r="O49" s="35">
        <f t="shared" si="6"/>
        <v>136.11479690601627</v>
      </c>
      <c r="P49" s="35">
        <f t="shared" si="7"/>
        <v>1.0285435763215836</v>
      </c>
      <c r="Q49" s="48">
        <f t="shared" si="8"/>
        <v>139.46047813305086</v>
      </c>
    </row>
    <row r="50" spans="2:17" x14ac:dyDescent="0.3">
      <c r="B50" s="9">
        <v>42385</v>
      </c>
      <c r="C50" s="3" t="s">
        <v>8</v>
      </c>
      <c r="D50" s="3" t="s">
        <v>11</v>
      </c>
      <c r="E50" s="3" t="s">
        <v>16</v>
      </c>
      <c r="F50" s="5" t="s">
        <v>13</v>
      </c>
      <c r="G50" s="25">
        <v>145</v>
      </c>
      <c r="H50" s="3">
        <f t="shared" si="9"/>
        <v>0</v>
      </c>
      <c r="I50" s="3">
        <f t="shared" si="10"/>
        <v>1</v>
      </c>
      <c r="J50" s="3">
        <f t="shared" si="11"/>
        <v>1</v>
      </c>
      <c r="K50" s="3">
        <f t="shared" si="12"/>
        <v>0</v>
      </c>
      <c r="L50" s="3">
        <f t="shared" si="13"/>
        <v>0</v>
      </c>
      <c r="M50" s="35">
        <f t="shared" si="14"/>
        <v>0</v>
      </c>
      <c r="N50" s="3">
        <v>47</v>
      </c>
      <c r="O50" s="35">
        <f t="shared" si="6"/>
        <v>158.08252196963255</v>
      </c>
      <c r="P50" s="35">
        <f t="shared" si="7"/>
        <v>0.91724245155865058</v>
      </c>
      <c r="Q50" s="48">
        <f t="shared" si="8"/>
        <v>140.78358554238818</v>
      </c>
    </row>
    <row r="51" spans="2:17" x14ac:dyDescent="0.3">
      <c r="B51" s="9">
        <v>42386</v>
      </c>
      <c r="C51" s="3" t="s">
        <v>9</v>
      </c>
      <c r="D51" s="3" t="s">
        <v>11</v>
      </c>
      <c r="E51" s="3" t="s">
        <v>15</v>
      </c>
      <c r="F51" s="5" t="s">
        <v>13</v>
      </c>
      <c r="G51" s="25">
        <v>106</v>
      </c>
      <c r="H51" s="3">
        <f t="shared" si="9"/>
        <v>0</v>
      </c>
      <c r="I51" s="3">
        <f t="shared" si="10"/>
        <v>0</v>
      </c>
      <c r="J51" s="3">
        <f t="shared" si="11"/>
        <v>1</v>
      </c>
      <c r="K51" s="3">
        <f t="shared" si="12"/>
        <v>0</v>
      </c>
      <c r="L51" s="3">
        <f t="shared" si="13"/>
        <v>0</v>
      </c>
      <c r="M51" s="35">
        <f t="shared" si="14"/>
        <v>0</v>
      </c>
      <c r="N51" s="3">
        <v>48</v>
      </c>
      <c r="O51" s="35">
        <f t="shared" si="6"/>
        <v>136.5591969139733</v>
      </c>
      <c r="P51" s="35">
        <f t="shared" si="7"/>
        <v>0.77622014771202608</v>
      </c>
      <c r="Q51" s="48">
        <f t="shared" si="8"/>
        <v>104.2208759753278</v>
      </c>
    </row>
    <row r="52" spans="2:17" x14ac:dyDescent="0.3">
      <c r="B52" s="9">
        <v>42387</v>
      </c>
      <c r="C52" s="3" t="s">
        <v>10</v>
      </c>
      <c r="D52" s="3" t="s">
        <v>11</v>
      </c>
      <c r="E52" s="3" t="s">
        <v>12</v>
      </c>
      <c r="F52" s="5" t="s">
        <v>30</v>
      </c>
      <c r="G52" s="25">
        <v>106</v>
      </c>
      <c r="H52" s="3">
        <f t="shared" si="9"/>
        <v>0</v>
      </c>
      <c r="I52" s="3">
        <f t="shared" si="10"/>
        <v>0</v>
      </c>
      <c r="J52" s="3">
        <f t="shared" si="11"/>
        <v>1</v>
      </c>
      <c r="K52" s="3">
        <f t="shared" si="12"/>
        <v>0</v>
      </c>
      <c r="L52" s="3">
        <f t="shared" si="13"/>
        <v>0</v>
      </c>
      <c r="M52" s="35">
        <f t="shared" si="14"/>
        <v>1</v>
      </c>
      <c r="N52" s="3">
        <v>49</v>
      </c>
      <c r="O52" s="35">
        <f t="shared" si="6"/>
        <v>90.818680012927828</v>
      </c>
      <c r="P52" s="35">
        <f t="shared" si="7"/>
        <v>1.1671607645575903</v>
      </c>
      <c r="Q52" s="48">
        <f t="shared" si="8"/>
        <v>95.197833612884835</v>
      </c>
    </row>
    <row r="53" spans="2:17" x14ac:dyDescent="0.3">
      <c r="B53" s="9">
        <v>42388</v>
      </c>
      <c r="C53" s="3" t="s">
        <v>4</v>
      </c>
      <c r="D53" s="3" t="s">
        <v>11</v>
      </c>
      <c r="E53" s="3" t="s">
        <v>12</v>
      </c>
      <c r="F53" s="5" t="s">
        <v>13</v>
      </c>
      <c r="G53" s="25">
        <v>146</v>
      </c>
      <c r="H53" s="3">
        <f t="shared" si="9"/>
        <v>0</v>
      </c>
      <c r="I53" s="3">
        <f t="shared" si="10"/>
        <v>0</v>
      </c>
      <c r="J53" s="3">
        <f t="shared" si="11"/>
        <v>1</v>
      </c>
      <c r="K53" s="3">
        <f t="shared" si="12"/>
        <v>0</v>
      </c>
      <c r="L53" s="3">
        <f t="shared" si="13"/>
        <v>0</v>
      </c>
      <c r="M53" s="35">
        <f t="shared" si="14"/>
        <v>0</v>
      </c>
      <c r="N53" s="3">
        <v>50</v>
      </c>
      <c r="O53" s="35">
        <f t="shared" si="6"/>
        <v>137.00359692193035</v>
      </c>
      <c r="P53" s="35">
        <f t="shared" si="7"/>
        <v>1.0656654517121629</v>
      </c>
      <c r="Q53" s="48">
        <f t="shared" si="8"/>
        <v>149.80077348724649</v>
      </c>
    </row>
    <row r="54" spans="2:17" x14ac:dyDescent="0.3">
      <c r="B54" s="9">
        <v>42389</v>
      </c>
      <c r="C54" s="3" t="s">
        <v>5</v>
      </c>
      <c r="D54" s="3" t="s">
        <v>11</v>
      </c>
      <c r="E54" s="3" t="s">
        <v>15</v>
      </c>
      <c r="F54" s="5" t="s">
        <v>13</v>
      </c>
      <c r="G54" s="25">
        <v>156</v>
      </c>
      <c r="H54" s="3">
        <f t="shared" si="9"/>
        <v>0</v>
      </c>
      <c r="I54" s="3">
        <f t="shared" si="10"/>
        <v>0</v>
      </c>
      <c r="J54" s="3">
        <f t="shared" si="11"/>
        <v>1</v>
      </c>
      <c r="K54" s="3">
        <f t="shared" si="12"/>
        <v>0</v>
      </c>
      <c r="L54" s="3">
        <f t="shared" si="13"/>
        <v>0</v>
      </c>
      <c r="M54" s="35">
        <f t="shared" si="14"/>
        <v>0</v>
      </c>
      <c r="N54" s="3">
        <v>51</v>
      </c>
      <c r="O54" s="35">
        <f t="shared" si="6"/>
        <v>137.22579692590887</v>
      </c>
      <c r="P54" s="35">
        <f t="shared" si="7"/>
        <v>1.1368124907609589</v>
      </c>
      <c r="Q54" s="48">
        <f t="shared" si="8"/>
        <v>161.23810563651236</v>
      </c>
    </row>
    <row r="55" spans="2:17" x14ac:dyDescent="0.3">
      <c r="B55" s="9">
        <v>42390</v>
      </c>
      <c r="C55" s="3" t="s">
        <v>6</v>
      </c>
      <c r="D55" s="3" t="s">
        <v>11</v>
      </c>
      <c r="E55" s="3" t="s">
        <v>12</v>
      </c>
      <c r="F55" s="5" t="s">
        <v>13</v>
      </c>
      <c r="G55" s="25">
        <v>144</v>
      </c>
      <c r="H55" s="3">
        <f t="shared" si="9"/>
        <v>0</v>
      </c>
      <c r="I55" s="3">
        <f t="shared" si="10"/>
        <v>0</v>
      </c>
      <c r="J55" s="3">
        <f t="shared" si="11"/>
        <v>1</v>
      </c>
      <c r="K55" s="3">
        <f t="shared" si="12"/>
        <v>0</v>
      </c>
      <c r="L55" s="3">
        <f t="shared" si="13"/>
        <v>0</v>
      </c>
      <c r="M55" s="35">
        <f t="shared" si="14"/>
        <v>0</v>
      </c>
      <c r="N55" s="3">
        <v>52</v>
      </c>
      <c r="O55" s="35">
        <f t="shared" si="6"/>
        <v>137.44799692988738</v>
      </c>
      <c r="P55" s="35">
        <f t="shared" si="7"/>
        <v>1.0476689600173279</v>
      </c>
      <c r="Q55" s="48">
        <f t="shared" si="8"/>
        <v>138.99129575818304</v>
      </c>
    </row>
    <row r="56" spans="2:17" x14ac:dyDescent="0.3">
      <c r="B56" s="9">
        <v>42391</v>
      </c>
      <c r="C56" s="3" t="s">
        <v>7</v>
      </c>
      <c r="D56" s="3" t="s">
        <v>11</v>
      </c>
      <c r="E56" s="3" t="s">
        <v>12</v>
      </c>
      <c r="F56" s="5" t="s">
        <v>13</v>
      </c>
      <c r="G56" s="25">
        <v>140</v>
      </c>
      <c r="H56" s="3">
        <f t="shared" si="9"/>
        <v>0</v>
      </c>
      <c r="I56" s="3">
        <f t="shared" si="10"/>
        <v>0</v>
      </c>
      <c r="J56" s="3">
        <f t="shared" si="11"/>
        <v>1</v>
      </c>
      <c r="K56" s="3">
        <f t="shared" si="12"/>
        <v>0</v>
      </c>
      <c r="L56" s="3">
        <f t="shared" si="13"/>
        <v>0</v>
      </c>
      <c r="M56" s="35">
        <f t="shared" si="14"/>
        <v>0</v>
      </c>
      <c r="N56" s="3">
        <v>53</v>
      </c>
      <c r="O56" s="35">
        <f t="shared" si="6"/>
        <v>137.67019693386592</v>
      </c>
      <c r="P56" s="35">
        <f t="shared" si="7"/>
        <v>1.0169230749866165</v>
      </c>
      <c r="Q56" s="48">
        <f t="shared" si="8"/>
        <v>141.05410965954721</v>
      </c>
    </row>
    <row r="57" spans="2:17" x14ac:dyDescent="0.3">
      <c r="B57" s="9">
        <v>42392</v>
      </c>
      <c r="C57" s="3" t="s">
        <v>8</v>
      </c>
      <c r="D57" s="3" t="s">
        <v>11</v>
      </c>
      <c r="E57" s="3" t="s">
        <v>15</v>
      </c>
      <c r="F57" s="5" t="s">
        <v>13</v>
      </c>
      <c r="G57" s="25">
        <v>119</v>
      </c>
      <c r="H57" s="3">
        <f t="shared" si="9"/>
        <v>0</v>
      </c>
      <c r="I57" s="3">
        <f t="shared" si="10"/>
        <v>0</v>
      </c>
      <c r="J57" s="3">
        <f t="shared" si="11"/>
        <v>1</v>
      </c>
      <c r="K57" s="3">
        <f t="shared" si="12"/>
        <v>0</v>
      </c>
      <c r="L57" s="3">
        <f t="shared" si="13"/>
        <v>0</v>
      </c>
      <c r="M57" s="35">
        <f t="shared" si="14"/>
        <v>0</v>
      </c>
      <c r="N57" s="3">
        <v>54</v>
      </c>
      <c r="O57" s="35">
        <f t="shared" si="6"/>
        <v>137.89239693784444</v>
      </c>
      <c r="P57" s="35">
        <f t="shared" si="7"/>
        <v>0.86299174314621374</v>
      </c>
      <c r="Q57" s="48">
        <f t="shared" si="8"/>
        <v>122.80286155653043</v>
      </c>
    </row>
    <row r="58" spans="2:17" x14ac:dyDescent="0.3">
      <c r="B58" s="9">
        <v>42393</v>
      </c>
      <c r="C58" s="3" t="s">
        <v>9</v>
      </c>
      <c r="D58" s="3" t="s">
        <v>11</v>
      </c>
      <c r="E58" s="3" t="s">
        <v>12</v>
      </c>
      <c r="F58" s="5" t="s">
        <v>13</v>
      </c>
      <c r="G58" s="25">
        <v>105</v>
      </c>
      <c r="H58" s="3">
        <f t="shared" si="9"/>
        <v>0</v>
      </c>
      <c r="I58" s="3">
        <f t="shared" si="10"/>
        <v>0</v>
      </c>
      <c r="J58" s="3">
        <f t="shared" si="11"/>
        <v>1</v>
      </c>
      <c r="K58" s="3">
        <f t="shared" si="12"/>
        <v>0</v>
      </c>
      <c r="L58" s="3">
        <f t="shared" si="13"/>
        <v>0</v>
      </c>
      <c r="M58" s="35">
        <f t="shared" si="14"/>
        <v>0</v>
      </c>
      <c r="N58" s="3">
        <v>55</v>
      </c>
      <c r="O58" s="35">
        <f t="shared" si="6"/>
        <v>138.11459694182295</v>
      </c>
      <c r="P58" s="35">
        <f t="shared" si="7"/>
        <v>0.76023825377580057</v>
      </c>
      <c r="Q58" s="48">
        <f t="shared" si="8"/>
        <v>105.40794471224092</v>
      </c>
    </row>
    <row r="59" spans="2:17" x14ac:dyDescent="0.3">
      <c r="B59" s="9">
        <v>42394</v>
      </c>
      <c r="C59" s="3" t="s">
        <v>10</v>
      </c>
      <c r="D59" s="3" t="s">
        <v>11</v>
      </c>
      <c r="E59" s="3" t="s">
        <v>15</v>
      </c>
      <c r="F59" s="5" t="s">
        <v>13</v>
      </c>
      <c r="G59" s="25">
        <v>137</v>
      </c>
      <c r="H59" s="3">
        <f t="shared" si="9"/>
        <v>0</v>
      </c>
      <c r="I59" s="3">
        <f t="shared" si="10"/>
        <v>0</v>
      </c>
      <c r="J59" s="3">
        <f t="shared" si="11"/>
        <v>1</v>
      </c>
      <c r="K59" s="3">
        <f t="shared" si="12"/>
        <v>0</v>
      </c>
      <c r="L59" s="3">
        <f t="shared" si="13"/>
        <v>0</v>
      </c>
      <c r="M59" s="35">
        <f t="shared" si="14"/>
        <v>0</v>
      </c>
      <c r="N59" s="3">
        <v>56</v>
      </c>
      <c r="O59" s="35">
        <f t="shared" si="6"/>
        <v>138.3367969458015</v>
      </c>
      <c r="P59" s="35">
        <f t="shared" si="7"/>
        <v>0.99033664957324963</v>
      </c>
      <c r="Q59" s="48">
        <f t="shared" si="8"/>
        <v>145.00720970962382</v>
      </c>
    </row>
    <row r="60" spans="2:17" x14ac:dyDescent="0.3">
      <c r="B60" s="9">
        <v>42395</v>
      </c>
      <c r="C60" s="3" t="s">
        <v>4</v>
      </c>
      <c r="D60" s="3" t="s">
        <v>14</v>
      </c>
      <c r="E60" s="3" t="s">
        <v>15</v>
      </c>
      <c r="F60" s="5" t="s">
        <v>13</v>
      </c>
      <c r="G60" s="25">
        <v>146</v>
      </c>
      <c r="H60" s="3">
        <f t="shared" si="9"/>
        <v>0</v>
      </c>
      <c r="I60" s="3">
        <f t="shared" si="10"/>
        <v>0</v>
      </c>
      <c r="J60" s="3">
        <f t="shared" si="11"/>
        <v>0</v>
      </c>
      <c r="K60" s="3">
        <f t="shared" si="12"/>
        <v>0</v>
      </c>
      <c r="L60" s="3">
        <f t="shared" si="13"/>
        <v>1</v>
      </c>
      <c r="M60" s="35">
        <f t="shared" si="14"/>
        <v>0</v>
      </c>
      <c r="N60" s="3">
        <v>57</v>
      </c>
      <c r="O60" s="35">
        <f t="shared" si="6"/>
        <v>134.96038705391825</v>
      </c>
      <c r="P60" s="35">
        <f t="shared" si="7"/>
        <v>1.081798912903764</v>
      </c>
      <c r="Q60" s="48">
        <f t="shared" si="8"/>
        <v>147.56671229833188</v>
      </c>
    </row>
    <row r="61" spans="2:17" x14ac:dyDescent="0.3">
      <c r="B61" s="9">
        <v>42396</v>
      </c>
      <c r="C61" s="3" t="s">
        <v>5</v>
      </c>
      <c r="D61" s="3" t="s">
        <v>14</v>
      </c>
      <c r="E61" s="3" t="s">
        <v>15</v>
      </c>
      <c r="F61" s="5" t="s">
        <v>13</v>
      </c>
      <c r="G61" s="25">
        <v>144</v>
      </c>
      <c r="H61" s="3">
        <f t="shared" si="9"/>
        <v>0</v>
      </c>
      <c r="I61" s="3">
        <f t="shared" si="10"/>
        <v>0</v>
      </c>
      <c r="J61" s="3">
        <f t="shared" si="11"/>
        <v>0</v>
      </c>
      <c r="K61" s="3">
        <f t="shared" si="12"/>
        <v>0</v>
      </c>
      <c r="L61" s="3">
        <f t="shared" si="13"/>
        <v>1</v>
      </c>
      <c r="M61" s="35">
        <f t="shared" si="14"/>
        <v>0</v>
      </c>
      <c r="N61" s="3">
        <v>58</v>
      </c>
      <c r="O61" s="35">
        <f t="shared" si="6"/>
        <v>135.18258705789677</v>
      </c>
      <c r="P61" s="35">
        <f t="shared" si="7"/>
        <v>1.0652259520549556</v>
      </c>
      <c r="Q61" s="48">
        <f t="shared" si="8"/>
        <v>158.83736688391488</v>
      </c>
    </row>
    <row r="62" spans="2:17" x14ac:dyDescent="0.3">
      <c r="B62" s="9">
        <v>42397</v>
      </c>
      <c r="C62" s="3" t="s">
        <v>6</v>
      </c>
      <c r="D62" s="3" t="s">
        <v>11</v>
      </c>
      <c r="E62" s="3" t="s">
        <v>15</v>
      </c>
      <c r="F62" s="5" t="s">
        <v>13</v>
      </c>
      <c r="G62" s="25">
        <v>149</v>
      </c>
      <c r="H62" s="3">
        <f t="shared" si="9"/>
        <v>0</v>
      </c>
      <c r="I62" s="3">
        <f t="shared" si="10"/>
        <v>0</v>
      </c>
      <c r="J62" s="3">
        <f t="shared" si="11"/>
        <v>1</v>
      </c>
      <c r="K62" s="3">
        <f t="shared" si="12"/>
        <v>0</v>
      </c>
      <c r="L62" s="3">
        <f t="shared" si="13"/>
        <v>0</v>
      </c>
      <c r="M62" s="35">
        <f t="shared" si="14"/>
        <v>0</v>
      </c>
      <c r="N62" s="3">
        <v>59</v>
      </c>
      <c r="O62" s="35">
        <f t="shared" si="6"/>
        <v>139.00339695773704</v>
      </c>
      <c r="P62" s="35">
        <f t="shared" si="7"/>
        <v>1.071916249969793</v>
      </c>
      <c r="Q62" s="48">
        <f t="shared" si="8"/>
        <v>140.56416018780013</v>
      </c>
    </row>
    <row r="63" spans="2:17" x14ac:dyDescent="0.3">
      <c r="B63" s="9">
        <v>42398</v>
      </c>
      <c r="C63" s="3" t="s">
        <v>7</v>
      </c>
      <c r="D63" s="3" t="s">
        <v>11</v>
      </c>
      <c r="E63" s="3" t="s">
        <v>15</v>
      </c>
      <c r="F63" s="5" t="s">
        <v>13</v>
      </c>
      <c r="G63" s="25">
        <v>146</v>
      </c>
      <c r="H63" s="3">
        <f t="shared" si="9"/>
        <v>0</v>
      </c>
      <c r="I63" s="3">
        <f t="shared" si="10"/>
        <v>0</v>
      </c>
      <c r="J63" s="3">
        <f t="shared" si="11"/>
        <v>1</v>
      </c>
      <c r="K63" s="3">
        <f t="shared" si="12"/>
        <v>0</v>
      </c>
      <c r="L63" s="3">
        <f t="shared" si="13"/>
        <v>0</v>
      </c>
      <c r="M63" s="35">
        <f t="shared" si="14"/>
        <v>0</v>
      </c>
      <c r="N63" s="3">
        <v>60</v>
      </c>
      <c r="O63" s="35">
        <f t="shared" si="6"/>
        <v>139.22559696171558</v>
      </c>
      <c r="P63" s="35">
        <f t="shared" si="7"/>
        <v>1.0486577410053932</v>
      </c>
      <c r="Q63" s="48">
        <f t="shared" si="8"/>
        <v>142.64774118604353</v>
      </c>
    </row>
    <row r="64" spans="2:17" x14ac:dyDescent="0.3">
      <c r="B64" s="9">
        <v>42399</v>
      </c>
      <c r="C64" s="3" t="s">
        <v>8</v>
      </c>
      <c r="D64" s="3" t="s">
        <v>11</v>
      </c>
      <c r="E64" s="3" t="s">
        <v>15</v>
      </c>
      <c r="F64" s="5" t="s">
        <v>13</v>
      </c>
      <c r="G64" s="25">
        <v>127</v>
      </c>
      <c r="H64" s="3">
        <f t="shared" si="9"/>
        <v>0</v>
      </c>
      <c r="I64" s="3">
        <f t="shared" si="10"/>
        <v>0</v>
      </c>
      <c r="J64" s="3">
        <f t="shared" si="11"/>
        <v>1</v>
      </c>
      <c r="K64" s="3">
        <f t="shared" si="12"/>
        <v>0</v>
      </c>
      <c r="L64" s="3">
        <f t="shared" si="13"/>
        <v>0</v>
      </c>
      <c r="M64" s="35">
        <f t="shared" si="14"/>
        <v>0</v>
      </c>
      <c r="N64" s="3">
        <v>61</v>
      </c>
      <c r="O64" s="35">
        <f t="shared" si="6"/>
        <v>139.4477969656941</v>
      </c>
      <c r="P64" s="35">
        <f t="shared" si="7"/>
        <v>0.91073507623245986</v>
      </c>
      <c r="Q64" s="48">
        <f t="shared" si="8"/>
        <v>124.18805449339078</v>
      </c>
    </row>
    <row r="65" spans="2:17" x14ac:dyDescent="0.3">
      <c r="B65" s="9">
        <v>42400</v>
      </c>
      <c r="C65" s="3" t="s">
        <v>9</v>
      </c>
      <c r="D65" s="3" t="s">
        <v>14</v>
      </c>
      <c r="E65" s="3" t="s">
        <v>15</v>
      </c>
      <c r="F65" s="5" t="s">
        <v>13</v>
      </c>
      <c r="G65" s="25">
        <v>99</v>
      </c>
      <c r="H65" s="3">
        <f t="shared" si="9"/>
        <v>0</v>
      </c>
      <c r="I65" s="3">
        <f t="shared" si="10"/>
        <v>0</v>
      </c>
      <c r="J65" s="3">
        <f t="shared" si="11"/>
        <v>0</v>
      </c>
      <c r="K65" s="3">
        <f t="shared" si="12"/>
        <v>0</v>
      </c>
      <c r="L65" s="3">
        <f t="shared" si="13"/>
        <v>1</v>
      </c>
      <c r="M65" s="35">
        <f t="shared" si="14"/>
        <v>0</v>
      </c>
      <c r="N65" s="3">
        <v>62</v>
      </c>
      <c r="O65" s="35">
        <f t="shared" si="6"/>
        <v>136.07138707381085</v>
      </c>
      <c r="P65" s="35">
        <f t="shared" si="7"/>
        <v>0.72755927700140388</v>
      </c>
      <c r="Q65" s="48">
        <f t="shared" si="8"/>
        <v>103.84858344578736</v>
      </c>
    </row>
    <row r="66" spans="2:17" x14ac:dyDescent="0.3">
      <c r="B66" s="9">
        <v>42401</v>
      </c>
      <c r="C66" s="3" t="s">
        <v>10</v>
      </c>
      <c r="D66" s="3" t="s">
        <v>26</v>
      </c>
      <c r="E66" s="3" t="s">
        <v>15</v>
      </c>
      <c r="F66" s="5" t="s">
        <v>13</v>
      </c>
      <c r="G66" s="25">
        <v>110</v>
      </c>
      <c r="H66" s="3">
        <f t="shared" si="9"/>
        <v>0</v>
      </c>
      <c r="I66" s="3">
        <f t="shared" si="10"/>
        <v>0</v>
      </c>
      <c r="J66" s="3">
        <f t="shared" si="11"/>
        <v>0</v>
      </c>
      <c r="K66" s="3">
        <f t="shared" si="12"/>
        <v>0</v>
      </c>
      <c r="L66" s="3">
        <f t="shared" si="13"/>
        <v>0</v>
      </c>
      <c r="M66" s="35">
        <f t="shared" si="14"/>
        <v>0</v>
      </c>
      <c r="N66" s="3">
        <v>63</v>
      </c>
      <c r="O66" s="35">
        <f t="shared" si="6"/>
        <v>121.25248334457248</v>
      </c>
      <c r="P66" s="35">
        <f t="shared" si="7"/>
        <v>0.90719791435037711</v>
      </c>
      <c r="Q66" s="48">
        <f t="shared" si="8"/>
        <v>127.09911367289841</v>
      </c>
    </row>
    <row r="67" spans="2:17" x14ac:dyDescent="0.3">
      <c r="B67" s="9">
        <v>42402</v>
      </c>
      <c r="C67" s="3" t="s">
        <v>4</v>
      </c>
      <c r="D67" s="3" t="s">
        <v>14</v>
      </c>
      <c r="E67" s="3" t="s">
        <v>15</v>
      </c>
      <c r="F67" s="5" t="s">
        <v>13</v>
      </c>
      <c r="G67" s="25">
        <v>143</v>
      </c>
      <c r="H67" s="3">
        <f t="shared" si="9"/>
        <v>0</v>
      </c>
      <c r="I67" s="3">
        <f t="shared" si="10"/>
        <v>0</v>
      </c>
      <c r="J67" s="3">
        <f t="shared" si="11"/>
        <v>0</v>
      </c>
      <c r="K67" s="3">
        <f t="shared" si="12"/>
        <v>0</v>
      </c>
      <c r="L67" s="3">
        <f t="shared" si="13"/>
        <v>1</v>
      </c>
      <c r="M67" s="35">
        <f t="shared" si="14"/>
        <v>0</v>
      </c>
      <c r="N67" s="3">
        <v>64</v>
      </c>
      <c r="O67" s="35">
        <f t="shared" si="6"/>
        <v>136.51578708176791</v>
      </c>
      <c r="P67" s="35">
        <f t="shared" si="7"/>
        <v>1.0474978979123366</v>
      </c>
      <c r="Q67" s="48">
        <f t="shared" si="8"/>
        <v>149.26739850284616</v>
      </c>
    </row>
    <row r="68" spans="2:17" x14ac:dyDescent="0.3">
      <c r="B68" s="9">
        <v>42403</v>
      </c>
      <c r="C68" s="3" t="s">
        <v>5</v>
      </c>
      <c r="D68" s="3" t="s">
        <v>14</v>
      </c>
      <c r="E68" s="3" t="s">
        <v>16</v>
      </c>
      <c r="F68" s="5" t="s">
        <v>13</v>
      </c>
      <c r="G68" s="25">
        <v>184</v>
      </c>
      <c r="H68" s="3">
        <f t="shared" ref="H68:H99" si="15">IF(E68=$H$3,1,0)</f>
        <v>0</v>
      </c>
      <c r="I68" s="3">
        <f t="shared" ref="I68:I99" si="16">IF(E68=$I$3,1,0)</f>
        <v>1</v>
      </c>
      <c r="J68" s="3">
        <f t="shared" ref="J68:J99" si="17">IF(D68=J$3,1,0)</f>
        <v>0</v>
      </c>
      <c r="K68" s="3">
        <f t="shared" ref="K68:K99" si="18">IF(D68=K$3,1,0)</f>
        <v>0</v>
      </c>
      <c r="L68" s="3">
        <f t="shared" ref="L68:L99" si="19">IF(D68=L$3,1,0)</f>
        <v>1</v>
      </c>
      <c r="M68" s="35">
        <f t="shared" ref="M68:M99" si="20">IF(F68="Yes",1,0)</f>
        <v>0</v>
      </c>
      <c r="N68" s="3">
        <v>65</v>
      </c>
      <c r="O68" s="35">
        <f t="shared" si="6"/>
        <v>158.4835121453842</v>
      </c>
      <c r="P68" s="35">
        <f t="shared" si="7"/>
        <v>1.1610040534135082</v>
      </c>
      <c r="Q68" s="48">
        <f t="shared" si="8"/>
        <v>186.21557932536453</v>
      </c>
    </row>
    <row r="69" spans="2:17" x14ac:dyDescent="0.3">
      <c r="B69" s="9">
        <v>42404</v>
      </c>
      <c r="C69" s="3" t="s">
        <v>6</v>
      </c>
      <c r="D69" s="3" t="s">
        <v>14</v>
      </c>
      <c r="E69" s="3" t="s">
        <v>15</v>
      </c>
      <c r="F69" s="5" t="s">
        <v>13</v>
      </c>
      <c r="G69" s="25">
        <v>145</v>
      </c>
      <c r="H69" s="3">
        <f t="shared" si="15"/>
        <v>0</v>
      </c>
      <c r="I69" s="3">
        <f t="shared" si="16"/>
        <v>0</v>
      </c>
      <c r="J69" s="3">
        <f t="shared" si="17"/>
        <v>0</v>
      </c>
      <c r="K69" s="3">
        <f t="shared" si="18"/>
        <v>0</v>
      </c>
      <c r="L69" s="3">
        <f t="shared" si="19"/>
        <v>1</v>
      </c>
      <c r="M69" s="35">
        <f t="shared" si="20"/>
        <v>0</v>
      </c>
      <c r="N69" s="3">
        <v>66</v>
      </c>
      <c r="O69" s="35">
        <f t="shared" ref="O69:O138" si="21">$V$21+$V$22*H69+$V$23*I69+$V$24*J69+$V$25*K69+$V$26*L69+$V$27*M69+$V$28*N69</f>
        <v>136.96018708972494</v>
      </c>
      <c r="P69" s="35">
        <f t="shared" ref="P69:P138" si="22">G69/O69</f>
        <v>1.0587018248230637</v>
      </c>
      <c r="Q69" s="48">
        <f t="shared" ref="Q69:Q138" si="23">VLOOKUP(C69,$U$34:$V$40,2,FALSE)*O69</f>
        <v>138.49800867301471</v>
      </c>
    </row>
    <row r="70" spans="2:17" x14ac:dyDescent="0.3">
      <c r="B70" s="9">
        <v>42405</v>
      </c>
      <c r="C70" s="3" t="s">
        <v>7</v>
      </c>
      <c r="D70" s="3" t="s">
        <v>11</v>
      </c>
      <c r="E70" s="3" t="s">
        <v>16</v>
      </c>
      <c r="F70" s="5" t="s">
        <v>13</v>
      </c>
      <c r="G70" s="25">
        <v>188</v>
      </c>
      <c r="H70" s="3">
        <f t="shared" si="15"/>
        <v>0</v>
      </c>
      <c r="I70" s="3">
        <f t="shared" si="16"/>
        <v>1</v>
      </c>
      <c r="J70" s="3">
        <f t="shared" si="17"/>
        <v>1</v>
      </c>
      <c r="K70" s="3">
        <f t="shared" si="18"/>
        <v>0</v>
      </c>
      <c r="L70" s="3">
        <f t="shared" si="19"/>
        <v>0</v>
      </c>
      <c r="M70" s="35">
        <f t="shared" si="20"/>
        <v>0</v>
      </c>
      <c r="N70" s="3">
        <v>67</v>
      </c>
      <c r="O70" s="35">
        <f t="shared" si="21"/>
        <v>162.52652204920301</v>
      </c>
      <c r="P70" s="35">
        <f t="shared" si="22"/>
        <v>1.1567342833010676</v>
      </c>
      <c r="Q70" s="48">
        <f t="shared" si="23"/>
        <v>166.52139950613883</v>
      </c>
    </row>
    <row r="71" spans="2:17" x14ac:dyDescent="0.3">
      <c r="B71" s="9">
        <v>42406</v>
      </c>
      <c r="C71" s="3" t="s">
        <v>8</v>
      </c>
      <c r="D71" s="3" t="s">
        <v>11</v>
      </c>
      <c r="E71" s="3" t="s">
        <v>15</v>
      </c>
      <c r="F71" s="5" t="s">
        <v>13</v>
      </c>
      <c r="G71" s="25">
        <v>122</v>
      </c>
      <c r="H71" s="3">
        <f t="shared" si="15"/>
        <v>0</v>
      </c>
      <c r="I71" s="3">
        <f t="shared" si="16"/>
        <v>0</v>
      </c>
      <c r="J71" s="3">
        <f t="shared" si="17"/>
        <v>1</v>
      </c>
      <c r="K71" s="3">
        <f t="shared" si="18"/>
        <v>0</v>
      </c>
      <c r="L71" s="3">
        <f t="shared" si="19"/>
        <v>0</v>
      </c>
      <c r="M71" s="35">
        <f t="shared" si="20"/>
        <v>0</v>
      </c>
      <c r="N71" s="3">
        <v>68</v>
      </c>
      <c r="O71" s="35">
        <f t="shared" si="21"/>
        <v>141.00319699354375</v>
      </c>
      <c r="P71" s="35">
        <f t="shared" si="22"/>
        <v>0.86522860900512866</v>
      </c>
      <c r="Q71" s="48">
        <f t="shared" si="23"/>
        <v>125.57324743025113</v>
      </c>
    </row>
    <row r="72" spans="2:17" x14ac:dyDescent="0.3">
      <c r="B72" s="9">
        <v>42407</v>
      </c>
      <c r="C72" s="3" t="s">
        <v>9</v>
      </c>
      <c r="D72" s="3" t="s">
        <v>11</v>
      </c>
      <c r="E72" s="3" t="s">
        <v>15</v>
      </c>
      <c r="F72" s="5" t="s">
        <v>13</v>
      </c>
      <c r="G72" s="25">
        <v>104</v>
      </c>
      <c r="H72" s="3">
        <f t="shared" si="15"/>
        <v>0</v>
      </c>
      <c r="I72" s="3">
        <f t="shared" si="16"/>
        <v>0</v>
      </c>
      <c r="J72" s="3">
        <f t="shared" si="17"/>
        <v>1</v>
      </c>
      <c r="K72" s="3">
        <f t="shared" si="18"/>
        <v>0</v>
      </c>
      <c r="L72" s="3">
        <f t="shared" si="19"/>
        <v>0</v>
      </c>
      <c r="M72" s="35">
        <f t="shared" si="20"/>
        <v>0</v>
      </c>
      <c r="N72" s="3">
        <v>69</v>
      </c>
      <c r="O72" s="35">
        <f t="shared" si="21"/>
        <v>141.22539699752227</v>
      </c>
      <c r="P72" s="35">
        <f t="shared" si="22"/>
        <v>0.73641145439176658</v>
      </c>
      <c r="Q72" s="48">
        <f t="shared" si="23"/>
        <v>107.78208218606716</v>
      </c>
    </row>
    <row r="73" spans="2:17" x14ac:dyDescent="0.3">
      <c r="B73" s="9">
        <v>42408</v>
      </c>
      <c r="C73" s="3" t="s">
        <v>10</v>
      </c>
      <c r="D73" s="3" t="s">
        <v>11</v>
      </c>
      <c r="E73" s="3" t="s">
        <v>15</v>
      </c>
      <c r="F73" s="5" t="s">
        <v>30</v>
      </c>
      <c r="G73" s="25">
        <v>100</v>
      </c>
      <c r="H73" s="3">
        <f t="shared" si="15"/>
        <v>0</v>
      </c>
      <c r="I73" s="3">
        <f t="shared" si="16"/>
        <v>0</v>
      </c>
      <c r="J73" s="3">
        <f t="shared" si="17"/>
        <v>1</v>
      </c>
      <c r="K73" s="3">
        <f t="shared" si="18"/>
        <v>0</v>
      </c>
      <c r="L73" s="3">
        <f t="shared" si="19"/>
        <v>0</v>
      </c>
      <c r="M73" s="35">
        <f t="shared" si="20"/>
        <v>1</v>
      </c>
      <c r="N73" s="3">
        <v>70</v>
      </c>
      <c r="O73" s="35">
        <f t="shared" si="21"/>
        <v>95.4848800964768</v>
      </c>
      <c r="P73" s="35">
        <f t="shared" si="22"/>
        <v>1.0472862289711331</v>
      </c>
      <c r="Q73" s="48">
        <f t="shared" si="23"/>
        <v>100.08903153708823</v>
      </c>
    </row>
    <row r="74" spans="2:17" x14ac:dyDescent="0.3">
      <c r="B74" s="9">
        <v>42409</v>
      </c>
      <c r="C74" s="3" t="s">
        <v>4</v>
      </c>
      <c r="D74" s="3" t="s">
        <v>11</v>
      </c>
      <c r="E74" s="3" t="s">
        <v>15</v>
      </c>
      <c r="F74" s="5" t="s">
        <v>13</v>
      </c>
      <c r="G74" s="25">
        <v>149</v>
      </c>
      <c r="H74" s="3">
        <f t="shared" si="15"/>
        <v>0</v>
      </c>
      <c r="I74" s="3">
        <f t="shared" si="16"/>
        <v>0</v>
      </c>
      <c r="J74" s="3">
        <f t="shared" si="17"/>
        <v>1</v>
      </c>
      <c r="K74" s="3">
        <f t="shared" si="18"/>
        <v>0</v>
      </c>
      <c r="L74" s="3">
        <f t="shared" si="19"/>
        <v>0</v>
      </c>
      <c r="M74" s="35">
        <f t="shared" si="20"/>
        <v>0</v>
      </c>
      <c r="N74" s="3">
        <v>71</v>
      </c>
      <c r="O74" s="35">
        <f t="shared" si="21"/>
        <v>141.66979700547932</v>
      </c>
      <c r="P74" s="35">
        <f t="shared" si="22"/>
        <v>1.0517414660673028</v>
      </c>
      <c r="Q74" s="48">
        <f t="shared" si="23"/>
        <v>154.90283210078937</v>
      </c>
    </row>
    <row r="75" spans="2:17" x14ac:dyDescent="0.3">
      <c r="B75" s="9">
        <v>42410</v>
      </c>
      <c r="C75" s="3" t="s">
        <v>5</v>
      </c>
      <c r="D75" s="3" t="s">
        <v>11</v>
      </c>
      <c r="E75" s="3" t="s">
        <v>16</v>
      </c>
      <c r="F75" s="5" t="s">
        <v>30</v>
      </c>
      <c r="G75" s="25">
        <v>124</v>
      </c>
      <c r="H75" s="3">
        <f t="shared" si="15"/>
        <v>0</v>
      </c>
      <c r="I75" s="3">
        <f t="shared" si="16"/>
        <v>1</v>
      </c>
      <c r="J75" s="3">
        <f t="shared" si="17"/>
        <v>1</v>
      </c>
      <c r="K75" s="3">
        <f t="shared" si="18"/>
        <v>0</v>
      </c>
      <c r="L75" s="3">
        <f t="shared" si="19"/>
        <v>0</v>
      </c>
      <c r="M75" s="35">
        <f t="shared" si="20"/>
        <v>1</v>
      </c>
      <c r="N75" s="3">
        <v>72</v>
      </c>
      <c r="O75" s="35">
        <f t="shared" si="21"/>
        <v>117.67480516407161</v>
      </c>
      <c r="P75" s="35">
        <f t="shared" si="22"/>
        <v>1.0537514791472082</v>
      </c>
      <c r="Q75" s="48">
        <f t="shared" si="23"/>
        <v>138.26600457671142</v>
      </c>
    </row>
    <row r="76" spans="2:17" x14ac:dyDescent="0.3">
      <c r="B76" s="9">
        <v>42411</v>
      </c>
      <c r="C76" s="3" t="s">
        <v>6</v>
      </c>
      <c r="D76" s="3" t="s">
        <v>11</v>
      </c>
      <c r="E76" s="3" t="s">
        <v>12</v>
      </c>
      <c r="F76" s="5" t="s">
        <v>13</v>
      </c>
      <c r="G76" s="25">
        <v>155</v>
      </c>
      <c r="H76" s="3">
        <f t="shared" si="15"/>
        <v>0</v>
      </c>
      <c r="I76" s="3">
        <f t="shared" si="16"/>
        <v>0</v>
      </c>
      <c r="J76" s="3">
        <f t="shared" si="17"/>
        <v>1</v>
      </c>
      <c r="K76" s="3">
        <f t="shared" si="18"/>
        <v>0</v>
      </c>
      <c r="L76" s="3">
        <f t="shared" si="19"/>
        <v>0</v>
      </c>
      <c r="M76" s="35">
        <f t="shared" si="20"/>
        <v>0</v>
      </c>
      <c r="N76" s="3">
        <v>73</v>
      </c>
      <c r="O76" s="35">
        <f t="shared" si="21"/>
        <v>142.11419701343635</v>
      </c>
      <c r="P76" s="35">
        <f t="shared" si="22"/>
        <v>1.0906721725018462</v>
      </c>
      <c r="Q76" s="48">
        <f t="shared" si="23"/>
        <v>143.7098890470343</v>
      </c>
    </row>
    <row r="77" spans="2:17" x14ac:dyDescent="0.3">
      <c r="B77" s="9">
        <v>42412</v>
      </c>
      <c r="C77" s="3" t="s">
        <v>7</v>
      </c>
      <c r="D77" s="3" t="s">
        <v>11</v>
      </c>
      <c r="E77" s="3" t="s">
        <v>15</v>
      </c>
      <c r="F77" s="5" t="s">
        <v>13</v>
      </c>
      <c r="G77" s="25">
        <v>152</v>
      </c>
      <c r="H77" s="3">
        <f t="shared" si="15"/>
        <v>0</v>
      </c>
      <c r="I77" s="3">
        <f t="shared" si="16"/>
        <v>0</v>
      </c>
      <c r="J77" s="3">
        <f t="shared" si="17"/>
        <v>1</v>
      </c>
      <c r="K77" s="3">
        <f t="shared" si="18"/>
        <v>0</v>
      </c>
      <c r="L77" s="3">
        <f t="shared" si="19"/>
        <v>0</v>
      </c>
      <c r="M77" s="35">
        <f t="shared" si="20"/>
        <v>0</v>
      </c>
      <c r="N77" s="3">
        <v>74</v>
      </c>
      <c r="O77" s="35">
        <f t="shared" si="21"/>
        <v>142.3363970174149</v>
      </c>
      <c r="P77" s="35">
        <f t="shared" si="22"/>
        <v>1.0678927047830413</v>
      </c>
      <c r="Q77" s="48">
        <f t="shared" si="23"/>
        <v>145.83500423903624</v>
      </c>
    </row>
    <row r="78" spans="2:17" x14ac:dyDescent="0.3">
      <c r="B78" s="9">
        <v>42413</v>
      </c>
      <c r="C78" s="3" t="s">
        <v>8</v>
      </c>
      <c r="D78" s="3" t="s">
        <v>11</v>
      </c>
      <c r="E78" s="3" t="s">
        <v>12</v>
      </c>
      <c r="F78" s="5" t="s">
        <v>13</v>
      </c>
      <c r="G78" s="25">
        <v>130</v>
      </c>
      <c r="H78" s="3">
        <f t="shared" si="15"/>
        <v>0</v>
      </c>
      <c r="I78" s="3">
        <f t="shared" si="16"/>
        <v>0</v>
      </c>
      <c r="J78" s="3">
        <f t="shared" si="17"/>
        <v>1</v>
      </c>
      <c r="K78" s="3">
        <f t="shared" si="18"/>
        <v>0</v>
      </c>
      <c r="L78" s="3">
        <f t="shared" si="19"/>
        <v>0</v>
      </c>
      <c r="M78" s="35">
        <f t="shared" si="20"/>
        <v>0</v>
      </c>
      <c r="N78" s="3">
        <v>75</v>
      </c>
      <c r="O78" s="35">
        <f t="shared" si="21"/>
        <v>142.55859702139341</v>
      </c>
      <c r="P78" s="35">
        <f t="shared" si="22"/>
        <v>0.91190571958625</v>
      </c>
      <c r="Q78" s="48">
        <f t="shared" si="23"/>
        <v>126.95844036711146</v>
      </c>
    </row>
    <row r="79" spans="2:17" x14ac:dyDescent="0.3">
      <c r="B79" s="9">
        <v>42414</v>
      </c>
      <c r="C79" s="3" t="s">
        <v>9</v>
      </c>
      <c r="D79" s="3" t="s">
        <v>11</v>
      </c>
      <c r="E79" s="3" t="s">
        <v>12</v>
      </c>
      <c r="F79" s="5" t="s">
        <v>30</v>
      </c>
      <c r="G79" s="25">
        <v>93</v>
      </c>
      <c r="H79" s="3">
        <f t="shared" si="15"/>
        <v>0</v>
      </c>
      <c r="I79" s="3">
        <f t="shared" si="16"/>
        <v>0</v>
      </c>
      <c r="J79" s="3">
        <f t="shared" si="17"/>
        <v>1</v>
      </c>
      <c r="K79" s="3">
        <f t="shared" si="18"/>
        <v>0</v>
      </c>
      <c r="L79" s="3">
        <f t="shared" si="19"/>
        <v>0</v>
      </c>
      <c r="M79" s="35">
        <f t="shared" si="20"/>
        <v>1</v>
      </c>
      <c r="N79" s="3">
        <v>76</v>
      </c>
      <c r="O79" s="35">
        <f t="shared" si="21"/>
        <v>96.818080120347943</v>
      </c>
      <c r="P79" s="35">
        <f t="shared" si="22"/>
        <v>0.96056438925868026</v>
      </c>
      <c r="Q79" s="48">
        <f t="shared" si="23"/>
        <v>73.890776662583278</v>
      </c>
    </row>
    <row r="80" spans="2:17" x14ac:dyDescent="0.3">
      <c r="B80" s="9">
        <v>42415</v>
      </c>
      <c r="C80" s="3" t="s">
        <v>10</v>
      </c>
      <c r="D80" s="3" t="s">
        <v>11</v>
      </c>
      <c r="E80" s="3" t="s">
        <v>15</v>
      </c>
      <c r="F80" s="5" t="s">
        <v>30</v>
      </c>
      <c r="G80" s="25">
        <v>103</v>
      </c>
      <c r="H80" s="3">
        <f t="shared" si="15"/>
        <v>0</v>
      </c>
      <c r="I80" s="3">
        <f t="shared" si="16"/>
        <v>0</v>
      </c>
      <c r="J80" s="3">
        <f t="shared" si="17"/>
        <v>1</v>
      </c>
      <c r="K80" s="3">
        <f t="shared" si="18"/>
        <v>0</v>
      </c>
      <c r="L80" s="3">
        <f t="shared" si="19"/>
        <v>0</v>
      </c>
      <c r="M80" s="35">
        <f t="shared" si="20"/>
        <v>1</v>
      </c>
      <c r="N80" s="3">
        <v>77</v>
      </c>
      <c r="O80" s="35">
        <f t="shared" si="21"/>
        <v>97.040280124326472</v>
      </c>
      <c r="P80" s="35">
        <f t="shared" si="22"/>
        <v>1.0614149079952988</v>
      </c>
      <c r="Q80" s="48">
        <f t="shared" si="23"/>
        <v>101.71943084515604</v>
      </c>
    </row>
    <row r="81" spans="2:17" x14ac:dyDescent="0.3">
      <c r="B81" s="9">
        <v>42416</v>
      </c>
      <c r="C81" s="3" t="s">
        <v>4</v>
      </c>
      <c r="D81" s="3" t="s">
        <v>11</v>
      </c>
      <c r="E81" s="3" t="s">
        <v>29</v>
      </c>
      <c r="F81" s="5" t="s">
        <v>13</v>
      </c>
      <c r="G81" s="25">
        <v>203</v>
      </c>
      <c r="H81" s="3">
        <f t="shared" si="15"/>
        <v>1</v>
      </c>
      <c r="I81" s="3">
        <f t="shared" si="16"/>
        <v>0</v>
      </c>
      <c r="J81" s="3">
        <f t="shared" si="17"/>
        <v>1</v>
      </c>
      <c r="K81" s="3">
        <f t="shared" si="18"/>
        <v>0</v>
      </c>
      <c r="L81" s="3">
        <f t="shared" si="19"/>
        <v>0</v>
      </c>
      <c r="M81" s="35">
        <f t="shared" si="20"/>
        <v>0</v>
      </c>
      <c r="N81" s="3">
        <v>78</v>
      </c>
      <c r="O81" s="35">
        <f t="shared" si="21"/>
        <v>175.61483066776313</v>
      </c>
      <c r="P81" s="35">
        <f t="shared" si="22"/>
        <v>1.155938819222196</v>
      </c>
      <c r="Q81" s="48">
        <f t="shared" si="23"/>
        <v>192.01858973712609</v>
      </c>
    </row>
    <row r="82" spans="2:17" x14ac:dyDescent="0.3">
      <c r="B82" s="9">
        <v>42417</v>
      </c>
      <c r="C82" s="3" t="s">
        <v>5</v>
      </c>
      <c r="D82" s="3" t="s">
        <v>11</v>
      </c>
      <c r="E82" s="3" t="s">
        <v>15</v>
      </c>
      <c r="F82" s="5" t="s">
        <v>13</v>
      </c>
      <c r="G82" s="25">
        <v>163</v>
      </c>
      <c r="H82" s="3">
        <f t="shared" si="15"/>
        <v>0</v>
      </c>
      <c r="I82" s="3">
        <f t="shared" si="16"/>
        <v>0</v>
      </c>
      <c r="J82" s="3">
        <f t="shared" si="17"/>
        <v>1</v>
      </c>
      <c r="K82" s="3">
        <f t="shared" si="18"/>
        <v>0</v>
      </c>
      <c r="L82" s="3">
        <f t="shared" si="19"/>
        <v>0</v>
      </c>
      <c r="M82" s="35">
        <f t="shared" si="20"/>
        <v>0</v>
      </c>
      <c r="N82" s="3">
        <v>79</v>
      </c>
      <c r="O82" s="35">
        <f t="shared" si="21"/>
        <v>143.4473970373075</v>
      </c>
      <c r="P82" s="35">
        <f t="shared" si="22"/>
        <v>1.1363050384079629</v>
      </c>
      <c r="Q82" s="48">
        <f t="shared" si="23"/>
        <v>168.54838576213228</v>
      </c>
    </row>
    <row r="83" spans="2:17" x14ac:dyDescent="0.3">
      <c r="B83" s="9">
        <v>42418</v>
      </c>
      <c r="C83" s="3" t="s">
        <v>6</v>
      </c>
      <c r="D83" s="3" t="s">
        <v>11</v>
      </c>
      <c r="E83" s="3" t="s">
        <v>12</v>
      </c>
      <c r="F83" s="5" t="s">
        <v>13</v>
      </c>
      <c r="G83" s="25">
        <v>155</v>
      </c>
      <c r="H83" s="3">
        <f t="shared" si="15"/>
        <v>0</v>
      </c>
      <c r="I83" s="3">
        <f t="shared" si="16"/>
        <v>0</v>
      </c>
      <c r="J83" s="3">
        <f t="shared" si="17"/>
        <v>1</v>
      </c>
      <c r="K83" s="3">
        <f t="shared" si="18"/>
        <v>0</v>
      </c>
      <c r="L83" s="3">
        <f t="shared" si="19"/>
        <v>0</v>
      </c>
      <c r="M83" s="35">
        <f t="shared" si="20"/>
        <v>0</v>
      </c>
      <c r="N83" s="3">
        <v>80</v>
      </c>
      <c r="O83" s="35">
        <f t="shared" si="21"/>
        <v>143.66959704128604</v>
      </c>
      <c r="P83" s="35">
        <f t="shared" si="22"/>
        <v>1.0788643052674391</v>
      </c>
      <c r="Q83" s="48">
        <f t="shared" si="23"/>
        <v>145.28275347665141</v>
      </c>
    </row>
    <row r="84" spans="2:17" x14ac:dyDescent="0.3">
      <c r="B84" s="9">
        <v>42419</v>
      </c>
      <c r="C84" s="3" t="s">
        <v>7</v>
      </c>
      <c r="D84" s="3" t="s">
        <v>11</v>
      </c>
      <c r="E84" s="3" t="s">
        <v>12</v>
      </c>
      <c r="F84" s="5" t="s">
        <v>13</v>
      </c>
      <c r="G84" s="25">
        <v>152</v>
      </c>
      <c r="H84" s="3">
        <f t="shared" si="15"/>
        <v>0</v>
      </c>
      <c r="I84" s="3">
        <f t="shared" si="16"/>
        <v>0</v>
      </c>
      <c r="J84" s="3">
        <f t="shared" si="17"/>
        <v>1</v>
      </c>
      <c r="K84" s="3">
        <f t="shared" si="18"/>
        <v>0</v>
      </c>
      <c r="L84" s="3">
        <f t="shared" si="19"/>
        <v>0</v>
      </c>
      <c r="M84" s="35">
        <f t="shared" si="20"/>
        <v>0</v>
      </c>
      <c r="N84" s="3">
        <v>81</v>
      </c>
      <c r="O84" s="35">
        <f t="shared" si="21"/>
        <v>143.89179704526455</v>
      </c>
      <c r="P84" s="35">
        <f t="shared" si="22"/>
        <v>1.056349306362369</v>
      </c>
      <c r="Q84" s="48">
        <f t="shared" si="23"/>
        <v>147.42863576553256</v>
      </c>
    </row>
    <row r="85" spans="2:17" x14ac:dyDescent="0.3">
      <c r="B85" s="9">
        <v>42420</v>
      </c>
      <c r="C85" s="3" t="s">
        <v>8</v>
      </c>
      <c r="D85" s="3" t="s">
        <v>14</v>
      </c>
      <c r="E85" s="3" t="s">
        <v>12</v>
      </c>
      <c r="F85" s="5" t="s">
        <v>13</v>
      </c>
      <c r="G85" s="25">
        <v>126</v>
      </c>
      <c r="H85" s="3">
        <f t="shared" si="15"/>
        <v>0</v>
      </c>
      <c r="I85" s="3">
        <f t="shared" si="16"/>
        <v>0</v>
      </c>
      <c r="J85" s="3">
        <f t="shared" si="17"/>
        <v>0</v>
      </c>
      <c r="K85" s="3">
        <f t="shared" si="18"/>
        <v>0</v>
      </c>
      <c r="L85" s="3">
        <f t="shared" si="19"/>
        <v>1</v>
      </c>
      <c r="M85" s="35">
        <f t="shared" si="20"/>
        <v>0</v>
      </c>
      <c r="N85" s="3">
        <v>82</v>
      </c>
      <c r="O85" s="35">
        <f t="shared" si="21"/>
        <v>140.51538715338131</v>
      </c>
      <c r="P85" s="35">
        <f t="shared" si="22"/>
        <v>0.89669894915112136</v>
      </c>
      <c r="Q85" s="48">
        <f t="shared" si="23"/>
        <v>125.13881851612916</v>
      </c>
    </row>
    <row r="86" spans="2:17" x14ac:dyDescent="0.3">
      <c r="B86" s="9">
        <v>42421</v>
      </c>
      <c r="C86" s="3" t="s">
        <v>9</v>
      </c>
      <c r="D86" s="3" t="s">
        <v>14</v>
      </c>
      <c r="E86" s="3" t="s">
        <v>15</v>
      </c>
      <c r="F86" s="5" t="s">
        <v>13</v>
      </c>
      <c r="G86" s="25">
        <v>106</v>
      </c>
      <c r="H86" s="3">
        <f t="shared" si="15"/>
        <v>0</v>
      </c>
      <c r="I86" s="3">
        <f t="shared" si="16"/>
        <v>0</v>
      </c>
      <c r="J86" s="3">
        <f t="shared" si="17"/>
        <v>0</v>
      </c>
      <c r="K86" s="3">
        <f t="shared" si="18"/>
        <v>0</v>
      </c>
      <c r="L86" s="3">
        <f t="shared" si="19"/>
        <v>1</v>
      </c>
      <c r="M86" s="35">
        <f t="shared" si="20"/>
        <v>0</v>
      </c>
      <c r="N86" s="3">
        <v>83</v>
      </c>
      <c r="O86" s="35">
        <f t="shared" si="21"/>
        <v>140.73758715735983</v>
      </c>
      <c r="P86" s="35">
        <f t="shared" si="22"/>
        <v>0.75317477115392462</v>
      </c>
      <c r="Q86" s="48">
        <f t="shared" si="23"/>
        <v>107.40978965652671</v>
      </c>
    </row>
    <row r="87" spans="2:17" x14ac:dyDescent="0.3">
      <c r="B87" s="9">
        <v>42422</v>
      </c>
      <c r="C87" s="3" t="s">
        <v>10</v>
      </c>
      <c r="D87" s="3" t="s">
        <v>14</v>
      </c>
      <c r="E87" s="3" t="s">
        <v>12</v>
      </c>
      <c r="F87" s="5" t="s">
        <v>13</v>
      </c>
      <c r="G87" s="25">
        <v>140</v>
      </c>
      <c r="H87" s="3">
        <f t="shared" si="15"/>
        <v>0</v>
      </c>
      <c r="I87" s="3">
        <f t="shared" si="16"/>
        <v>0</v>
      </c>
      <c r="J87" s="3">
        <f t="shared" si="17"/>
        <v>0</v>
      </c>
      <c r="K87" s="3">
        <f t="shared" si="18"/>
        <v>0</v>
      </c>
      <c r="L87" s="3">
        <f t="shared" si="19"/>
        <v>1</v>
      </c>
      <c r="M87" s="35">
        <f t="shared" si="20"/>
        <v>0</v>
      </c>
      <c r="N87" s="3">
        <v>84</v>
      </c>
      <c r="O87" s="35">
        <f t="shared" si="21"/>
        <v>140.95978716133837</v>
      </c>
      <c r="P87" s="35">
        <f t="shared" si="22"/>
        <v>0.9931910569626512</v>
      </c>
      <c r="Q87" s="48">
        <f t="shared" si="23"/>
        <v>147.75667695657521</v>
      </c>
    </row>
    <row r="88" spans="2:17" x14ac:dyDescent="0.3">
      <c r="B88" s="9">
        <v>42423</v>
      </c>
      <c r="C88" s="3" t="s">
        <v>4</v>
      </c>
      <c r="D88" s="3" t="s">
        <v>11</v>
      </c>
      <c r="E88" s="3" t="s">
        <v>15</v>
      </c>
      <c r="F88" s="5" t="s">
        <v>13</v>
      </c>
      <c r="G88" s="25">
        <v>152</v>
      </c>
      <c r="H88" s="3">
        <f t="shared" si="15"/>
        <v>0</v>
      </c>
      <c r="I88" s="3">
        <f t="shared" si="16"/>
        <v>0</v>
      </c>
      <c r="J88" s="3">
        <f t="shared" si="17"/>
        <v>1</v>
      </c>
      <c r="K88" s="3">
        <f t="shared" si="18"/>
        <v>0</v>
      </c>
      <c r="L88" s="3">
        <f t="shared" si="19"/>
        <v>0</v>
      </c>
      <c r="M88" s="35">
        <f t="shared" si="20"/>
        <v>0</v>
      </c>
      <c r="N88" s="3">
        <v>85</v>
      </c>
      <c r="O88" s="35">
        <f t="shared" si="21"/>
        <v>144.78059706117864</v>
      </c>
      <c r="P88" s="35">
        <f t="shared" si="22"/>
        <v>1.0498644368469534</v>
      </c>
      <c r="Q88" s="48">
        <f t="shared" si="23"/>
        <v>158.30420450981794</v>
      </c>
    </row>
    <row r="89" spans="2:17" x14ac:dyDescent="0.3">
      <c r="B89" s="9">
        <v>42424</v>
      </c>
      <c r="C89" s="3" t="s">
        <v>5</v>
      </c>
      <c r="D89" s="3" t="s">
        <v>11</v>
      </c>
      <c r="E89" s="3" t="s">
        <v>29</v>
      </c>
      <c r="F89" s="5" t="s">
        <v>13</v>
      </c>
      <c r="G89" s="25">
        <v>221</v>
      </c>
      <c r="H89" s="3">
        <f t="shared" si="15"/>
        <v>1</v>
      </c>
      <c r="I89" s="3">
        <f t="shared" si="16"/>
        <v>0</v>
      </c>
      <c r="J89" s="3">
        <f t="shared" si="17"/>
        <v>1</v>
      </c>
      <c r="K89" s="3">
        <f t="shared" si="18"/>
        <v>0</v>
      </c>
      <c r="L89" s="3">
        <f t="shared" si="19"/>
        <v>0</v>
      </c>
      <c r="M89" s="35">
        <f t="shared" si="20"/>
        <v>0</v>
      </c>
      <c r="N89" s="3">
        <v>86</v>
      </c>
      <c r="O89" s="35">
        <f t="shared" si="21"/>
        <v>177.3924306995913</v>
      </c>
      <c r="P89" s="35">
        <f t="shared" si="22"/>
        <v>1.2458254229249319</v>
      </c>
      <c r="Q89" s="48">
        <f t="shared" si="23"/>
        <v>208.43325468680976</v>
      </c>
    </row>
    <row r="90" spans="2:17" x14ac:dyDescent="0.3">
      <c r="B90" s="9">
        <v>42425</v>
      </c>
      <c r="C90" s="3" t="s">
        <v>6</v>
      </c>
      <c r="D90" s="3" t="s">
        <v>14</v>
      </c>
      <c r="E90" s="3" t="s">
        <v>15</v>
      </c>
      <c r="F90" s="5" t="s">
        <v>13</v>
      </c>
      <c r="G90" s="25">
        <v>150</v>
      </c>
      <c r="H90" s="3">
        <f t="shared" si="15"/>
        <v>0</v>
      </c>
      <c r="I90" s="3">
        <f t="shared" si="16"/>
        <v>0</v>
      </c>
      <c r="J90" s="3">
        <f t="shared" si="17"/>
        <v>0</v>
      </c>
      <c r="K90" s="3">
        <f t="shared" si="18"/>
        <v>0</v>
      </c>
      <c r="L90" s="3">
        <f t="shared" si="19"/>
        <v>1</v>
      </c>
      <c r="M90" s="35">
        <f t="shared" si="20"/>
        <v>0</v>
      </c>
      <c r="N90" s="3">
        <v>87</v>
      </c>
      <c r="O90" s="35">
        <f t="shared" si="21"/>
        <v>141.62638717327394</v>
      </c>
      <c r="P90" s="35">
        <f t="shared" si="22"/>
        <v>1.0591246659175264</v>
      </c>
      <c r="Q90" s="48">
        <f t="shared" si="23"/>
        <v>143.21660196186599</v>
      </c>
    </row>
    <row r="91" spans="2:17" x14ac:dyDescent="0.3">
      <c r="B91" s="9">
        <v>42426</v>
      </c>
      <c r="C91" s="3" t="s">
        <v>7</v>
      </c>
      <c r="D91" s="3" t="s">
        <v>11</v>
      </c>
      <c r="E91" s="3" t="s">
        <v>12</v>
      </c>
      <c r="F91" s="5" t="s">
        <v>13</v>
      </c>
      <c r="G91" s="25">
        <v>148</v>
      </c>
      <c r="H91" s="3">
        <f t="shared" si="15"/>
        <v>0</v>
      </c>
      <c r="I91" s="3">
        <f t="shared" si="16"/>
        <v>0</v>
      </c>
      <c r="J91" s="3">
        <f t="shared" si="17"/>
        <v>1</v>
      </c>
      <c r="K91" s="3">
        <f t="shared" si="18"/>
        <v>0</v>
      </c>
      <c r="L91" s="3">
        <f t="shared" si="19"/>
        <v>0</v>
      </c>
      <c r="M91" s="35">
        <f t="shared" si="20"/>
        <v>0</v>
      </c>
      <c r="N91" s="3">
        <v>88</v>
      </c>
      <c r="O91" s="35">
        <f t="shared" si="21"/>
        <v>145.44719707311421</v>
      </c>
      <c r="P91" s="35">
        <f t="shared" si="22"/>
        <v>1.0175514068215596</v>
      </c>
      <c r="Q91" s="48">
        <f t="shared" si="23"/>
        <v>149.02226729202891</v>
      </c>
    </row>
    <row r="92" spans="2:17" x14ac:dyDescent="0.3">
      <c r="B92" s="9">
        <v>42427</v>
      </c>
      <c r="C92" s="3" t="s">
        <v>8</v>
      </c>
      <c r="D92" s="3" t="s">
        <v>11</v>
      </c>
      <c r="E92" s="3" t="s">
        <v>15</v>
      </c>
      <c r="F92" s="5" t="s">
        <v>13</v>
      </c>
      <c r="G92" s="25">
        <v>131</v>
      </c>
      <c r="H92" s="3">
        <f t="shared" si="15"/>
        <v>0</v>
      </c>
      <c r="I92" s="3">
        <f t="shared" si="16"/>
        <v>0</v>
      </c>
      <c r="J92" s="3">
        <f t="shared" si="17"/>
        <v>1</v>
      </c>
      <c r="K92" s="3">
        <f t="shared" si="18"/>
        <v>0</v>
      </c>
      <c r="L92" s="3">
        <f t="shared" si="19"/>
        <v>0</v>
      </c>
      <c r="M92" s="35">
        <f t="shared" si="20"/>
        <v>0</v>
      </c>
      <c r="N92" s="3">
        <v>89</v>
      </c>
      <c r="O92" s="35">
        <f t="shared" si="21"/>
        <v>145.66939707709273</v>
      </c>
      <c r="P92" s="35">
        <f t="shared" si="22"/>
        <v>0.89929664451532509</v>
      </c>
      <c r="Q92" s="48">
        <f t="shared" si="23"/>
        <v>129.72882624083215</v>
      </c>
    </row>
    <row r="93" spans="2:17" x14ac:dyDescent="0.3">
      <c r="B93" s="9">
        <v>42428</v>
      </c>
      <c r="C93" s="3" t="s">
        <v>9</v>
      </c>
      <c r="D93" s="3" t="s">
        <v>11</v>
      </c>
      <c r="E93" s="3" t="s">
        <v>15</v>
      </c>
      <c r="F93" s="5" t="s">
        <v>13</v>
      </c>
      <c r="G93" s="25">
        <v>102</v>
      </c>
      <c r="H93" s="3">
        <f t="shared" si="15"/>
        <v>0</v>
      </c>
      <c r="I93" s="3">
        <f t="shared" si="16"/>
        <v>0</v>
      </c>
      <c r="J93" s="3">
        <f t="shared" si="17"/>
        <v>1</v>
      </c>
      <c r="K93" s="3">
        <f t="shared" si="18"/>
        <v>0</v>
      </c>
      <c r="L93" s="3">
        <f t="shared" si="19"/>
        <v>0</v>
      </c>
      <c r="M93" s="35">
        <f t="shared" si="20"/>
        <v>0</v>
      </c>
      <c r="N93" s="3">
        <v>90</v>
      </c>
      <c r="O93" s="35">
        <f t="shared" si="21"/>
        <v>145.89159708107127</v>
      </c>
      <c r="P93" s="35">
        <f t="shared" si="22"/>
        <v>0.6991492453353505</v>
      </c>
      <c r="Q93" s="48">
        <f t="shared" si="23"/>
        <v>111.34328839680654</v>
      </c>
    </row>
    <row r="94" spans="2:17" x14ac:dyDescent="0.3">
      <c r="B94" s="9">
        <v>42429</v>
      </c>
      <c r="C94" s="3" t="s">
        <v>10</v>
      </c>
      <c r="D94" s="3" t="s">
        <v>14</v>
      </c>
      <c r="E94" s="3" t="s">
        <v>15</v>
      </c>
      <c r="F94" s="5" t="s">
        <v>13</v>
      </c>
      <c r="G94" s="25">
        <v>146</v>
      </c>
      <c r="H94" s="3">
        <f t="shared" si="15"/>
        <v>0</v>
      </c>
      <c r="I94" s="3">
        <f t="shared" si="16"/>
        <v>0</v>
      </c>
      <c r="J94" s="3">
        <f t="shared" si="17"/>
        <v>0</v>
      </c>
      <c r="K94" s="3">
        <f t="shared" si="18"/>
        <v>0</v>
      </c>
      <c r="L94" s="3">
        <f t="shared" si="19"/>
        <v>1</v>
      </c>
      <c r="M94" s="35">
        <f t="shared" si="20"/>
        <v>0</v>
      </c>
      <c r="N94" s="3">
        <v>91</v>
      </c>
      <c r="O94" s="35">
        <f t="shared" si="21"/>
        <v>142.51518718918803</v>
      </c>
      <c r="P94" s="35">
        <f t="shared" si="22"/>
        <v>1.0244522207039304</v>
      </c>
      <c r="Q94" s="48">
        <f t="shared" si="23"/>
        <v>149.38707626464301</v>
      </c>
    </row>
    <row r="95" spans="2:17" x14ac:dyDescent="0.3">
      <c r="B95" s="9">
        <v>42430</v>
      </c>
      <c r="C95" s="3" t="s">
        <v>4</v>
      </c>
      <c r="D95" s="3" t="s">
        <v>11</v>
      </c>
      <c r="E95" s="3" t="s">
        <v>12</v>
      </c>
      <c r="F95" s="5" t="s">
        <v>13</v>
      </c>
      <c r="G95" s="25">
        <v>226</v>
      </c>
      <c r="H95" s="3">
        <f t="shared" si="15"/>
        <v>0</v>
      </c>
      <c r="I95" s="3">
        <f t="shared" si="16"/>
        <v>0</v>
      </c>
      <c r="J95" s="3">
        <f t="shared" si="17"/>
        <v>1</v>
      </c>
      <c r="K95" s="3">
        <f t="shared" si="18"/>
        <v>0</v>
      </c>
      <c r="L95" s="3">
        <f t="shared" si="19"/>
        <v>0</v>
      </c>
      <c r="M95" s="35">
        <f t="shared" si="20"/>
        <v>0</v>
      </c>
      <c r="N95" s="3">
        <v>92</v>
      </c>
      <c r="O95" s="35">
        <f t="shared" si="21"/>
        <v>146.3359970890283</v>
      </c>
      <c r="P95" s="35">
        <f t="shared" si="22"/>
        <v>1.5443910213185994</v>
      </c>
      <c r="Q95" s="48">
        <f t="shared" si="23"/>
        <v>160.00489071433225</v>
      </c>
    </row>
    <row r="96" spans="2:17" x14ac:dyDescent="0.3">
      <c r="B96" s="9">
        <v>42431</v>
      </c>
      <c r="C96" s="3" t="s">
        <v>5</v>
      </c>
      <c r="D96" s="3" t="s">
        <v>14</v>
      </c>
      <c r="E96" s="3" t="s">
        <v>15</v>
      </c>
      <c r="F96" s="5" t="s">
        <v>13</v>
      </c>
      <c r="G96" s="25">
        <v>212</v>
      </c>
      <c r="H96" s="3">
        <f t="shared" si="15"/>
        <v>0</v>
      </c>
      <c r="I96" s="3">
        <f t="shared" si="16"/>
        <v>0</v>
      </c>
      <c r="J96" s="3">
        <f t="shared" si="17"/>
        <v>0</v>
      </c>
      <c r="K96" s="3">
        <f t="shared" si="18"/>
        <v>0</v>
      </c>
      <c r="L96" s="3">
        <f t="shared" si="19"/>
        <v>1</v>
      </c>
      <c r="M96" s="35">
        <f t="shared" si="20"/>
        <v>0</v>
      </c>
      <c r="N96" s="3">
        <v>93</v>
      </c>
      <c r="O96" s="35">
        <f t="shared" si="21"/>
        <v>142.95958719714505</v>
      </c>
      <c r="P96" s="35">
        <f t="shared" si="22"/>
        <v>1.4829365707921804</v>
      </c>
      <c r="Q96" s="48">
        <f t="shared" si="23"/>
        <v>167.97521704093981</v>
      </c>
    </row>
    <row r="97" spans="2:17" x14ac:dyDescent="0.3">
      <c r="B97" s="9">
        <v>42432</v>
      </c>
      <c r="C97" s="3" t="s">
        <v>6</v>
      </c>
      <c r="D97" s="3" t="s">
        <v>11</v>
      </c>
      <c r="E97" s="3" t="s">
        <v>15</v>
      </c>
      <c r="F97" s="5" t="s">
        <v>13</v>
      </c>
      <c r="G97" s="25">
        <v>99</v>
      </c>
      <c r="H97" s="3">
        <f t="shared" si="15"/>
        <v>0</v>
      </c>
      <c r="I97" s="3">
        <f t="shared" si="16"/>
        <v>0</v>
      </c>
      <c r="J97" s="3">
        <f t="shared" si="17"/>
        <v>1</v>
      </c>
      <c r="K97" s="3">
        <f t="shared" si="18"/>
        <v>0</v>
      </c>
      <c r="L97" s="3">
        <f t="shared" si="19"/>
        <v>0</v>
      </c>
      <c r="M97" s="35">
        <f t="shared" si="20"/>
        <v>0</v>
      </c>
      <c r="N97" s="3">
        <v>94</v>
      </c>
      <c r="O97" s="35">
        <f t="shared" si="21"/>
        <v>146.78039709698535</v>
      </c>
      <c r="P97" s="35">
        <f t="shared" si="22"/>
        <v>0.6744769871046582</v>
      </c>
      <c r="Q97" s="48">
        <f t="shared" si="23"/>
        <v>148.42848233588558</v>
      </c>
    </row>
    <row r="98" spans="2:17" x14ac:dyDescent="0.3">
      <c r="B98" s="9">
        <v>42433</v>
      </c>
      <c r="C98" s="3" t="s">
        <v>7</v>
      </c>
      <c r="D98" s="3" t="s">
        <v>11</v>
      </c>
      <c r="E98" s="3" t="s">
        <v>16</v>
      </c>
      <c r="F98" s="5" t="s">
        <v>13</v>
      </c>
      <c r="G98" s="25">
        <v>122</v>
      </c>
      <c r="H98" s="3">
        <f t="shared" si="15"/>
        <v>0</v>
      </c>
      <c r="I98" s="3">
        <f t="shared" si="16"/>
        <v>1</v>
      </c>
      <c r="J98" s="3">
        <f t="shared" si="17"/>
        <v>1</v>
      </c>
      <c r="K98" s="3">
        <f t="shared" si="18"/>
        <v>0</v>
      </c>
      <c r="L98" s="3">
        <f t="shared" si="19"/>
        <v>0</v>
      </c>
      <c r="M98" s="35">
        <f t="shared" si="20"/>
        <v>0</v>
      </c>
      <c r="N98" s="3">
        <v>95</v>
      </c>
      <c r="O98" s="35">
        <f t="shared" si="21"/>
        <v>168.74812216060164</v>
      </c>
      <c r="P98" s="35">
        <f t="shared" si="22"/>
        <v>0.72297100813892123</v>
      </c>
      <c r="Q98" s="48">
        <f t="shared" si="23"/>
        <v>172.89592561212419</v>
      </c>
    </row>
    <row r="99" spans="2:17" x14ac:dyDescent="0.3">
      <c r="B99" s="9">
        <v>42434</v>
      </c>
      <c r="C99" s="3" t="s">
        <v>8</v>
      </c>
      <c r="D99" s="3" t="s">
        <v>11</v>
      </c>
      <c r="E99" s="3" t="s">
        <v>12</v>
      </c>
      <c r="F99" s="5" t="s">
        <v>13</v>
      </c>
      <c r="G99" s="25">
        <v>133</v>
      </c>
      <c r="H99" s="3">
        <f t="shared" si="15"/>
        <v>0</v>
      </c>
      <c r="I99" s="3">
        <f t="shared" si="16"/>
        <v>0</v>
      </c>
      <c r="J99" s="3">
        <f t="shared" si="17"/>
        <v>1</v>
      </c>
      <c r="K99" s="3">
        <f t="shared" si="18"/>
        <v>0</v>
      </c>
      <c r="L99" s="3">
        <f t="shared" si="19"/>
        <v>0</v>
      </c>
      <c r="M99" s="35">
        <f t="shared" si="20"/>
        <v>0</v>
      </c>
      <c r="N99" s="3">
        <v>96</v>
      </c>
      <c r="O99" s="35">
        <f t="shared" si="21"/>
        <v>147.22479710494238</v>
      </c>
      <c r="P99" s="35">
        <f t="shared" si="22"/>
        <v>0.90338042649973638</v>
      </c>
      <c r="Q99" s="48">
        <f t="shared" si="23"/>
        <v>131.11401917769251</v>
      </c>
    </row>
    <row r="100" spans="2:17" x14ac:dyDescent="0.3">
      <c r="B100" s="9">
        <v>42435</v>
      </c>
      <c r="C100" s="3" t="s">
        <v>9</v>
      </c>
      <c r="D100" s="3" t="s">
        <v>11</v>
      </c>
      <c r="E100" s="3" t="s">
        <v>12</v>
      </c>
      <c r="F100" s="5" t="s">
        <v>13</v>
      </c>
      <c r="G100" s="25">
        <v>126</v>
      </c>
      <c r="H100" s="3">
        <f t="shared" ref="H100:H138" si="24">IF(E100=$H$3,1,0)</f>
        <v>0</v>
      </c>
      <c r="I100" s="3">
        <f t="shared" ref="I100:I138" si="25">IF(E100=$I$3,1,0)</f>
        <v>0</v>
      </c>
      <c r="J100" s="3">
        <f t="shared" ref="J100:J138" si="26">IF(D100=J$3,1,0)</f>
        <v>1</v>
      </c>
      <c r="K100" s="3">
        <f t="shared" ref="K100:K138" si="27">IF(D100=K$3,1,0)</f>
        <v>0</v>
      </c>
      <c r="L100" s="3">
        <f t="shared" ref="L100:L138" si="28">IF(D100=L$3,1,0)</f>
        <v>0</v>
      </c>
      <c r="M100" s="35">
        <f t="shared" ref="M100:M138" si="29">IF(F100="Yes",1,0)</f>
        <v>0</v>
      </c>
      <c r="N100" s="3">
        <v>97</v>
      </c>
      <c r="O100" s="35">
        <f t="shared" si="21"/>
        <v>147.44699710892093</v>
      </c>
      <c r="P100" s="35">
        <f t="shared" si="22"/>
        <v>0.85454436150315249</v>
      </c>
      <c r="Q100" s="48">
        <f t="shared" si="23"/>
        <v>112.53035713371966</v>
      </c>
    </row>
    <row r="101" spans="2:17" x14ac:dyDescent="0.3">
      <c r="B101" s="9">
        <v>42436</v>
      </c>
      <c r="C101" s="3" t="s">
        <v>10</v>
      </c>
      <c r="D101" s="3" t="s">
        <v>14</v>
      </c>
      <c r="E101" s="3" t="s">
        <v>15</v>
      </c>
      <c r="F101" s="5" t="s">
        <v>13</v>
      </c>
      <c r="G101" s="25">
        <v>152</v>
      </c>
      <c r="H101" s="3">
        <f t="shared" si="24"/>
        <v>0</v>
      </c>
      <c r="I101" s="3">
        <f t="shared" si="25"/>
        <v>0</v>
      </c>
      <c r="J101" s="3">
        <f t="shared" si="26"/>
        <v>0</v>
      </c>
      <c r="K101" s="3">
        <f t="shared" si="27"/>
        <v>0</v>
      </c>
      <c r="L101" s="3">
        <f t="shared" si="28"/>
        <v>1</v>
      </c>
      <c r="M101" s="35">
        <f t="shared" si="29"/>
        <v>0</v>
      </c>
      <c r="N101" s="3">
        <v>98</v>
      </c>
      <c r="O101" s="35">
        <f t="shared" si="21"/>
        <v>144.07058721703768</v>
      </c>
      <c r="P101" s="35">
        <f t="shared" si="22"/>
        <v>1.055038387335903</v>
      </c>
      <c r="Q101" s="48">
        <f t="shared" si="23"/>
        <v>151.01747557271079</v>
      </c>
    </row>
    <row r="102" spans="2:17" x14ac:dyDescent="0.3">
      <c r="B102" s="9">
        <v>42437</v>
      </c>
      <c r="C102" s="3" t="s">
        <v>4</v>
      </c>
      <c r="D102" s="3" t="s">
        <v>26</v>
      </c>
      <c r="E102" s="3" t="s">
        <v>15</v>
      </c>
      <c r="F102" s="5" t="s">
        <v>13</v>
      </c>
      <c r="G102" s="25">
        <v>128</v>
      </c>
      <c r="H102" s="3">
        <f t="shared" si="24"/>
        <v>0</v>
      </c>
      <c r="I102" s="3">
        <f t="shared" si="25"/>
        <v>0</v>
      </c>
      <c r="J102" s="3">
        <f t="shared" si="26"/>
        <v>0</v>
      </c>
      <c r="K102" s="3">
        <f t="shared" si="27"/>
        <v>0</v>
      </c>
      <c r="L102" s="3">
        <f t="shared" si="28"/>
        <v>0</v>
      </c>
      <c r="M102" s="35">
        <f t="shared" si="29"/>
        <v>0</v>
      </c>
      <c r="N102" s="3">
        <v>99</v>
      </c>
      <c r="O102" s="35">
        <f t="shared" si="21"/>
        <v>129.25168348779931</v>
      </c>
      <c r="P102" s="35">
        <f t="shared" si="22"/>
        <v>0.99031592120099954</v>
      </c>
      <c r="Q102" s="48">
        <f t="shared" si="23"/>
        <v>141.32477245859667</v>
      </c>
    </row>
    <row r="103" spans="2:17" x14ac:dyDescent="0.3">
      <c r="B103" s="9">
        <v>42438</v>
      </c>
      <c r="C103" s="3" t="s">
        <v>5</v>
      </c>
      <c r="D103" s="3" t="s">
        <v>26</v>
      </c>
      <c r="E103" s="3" t="s">
        <v>12</v>
      </c>
      <c r="F103" s="5" t="s">
        <v>13</v>
      </c>
      <c r="G103" s="25">
        <v>219</v>
      </c>
      <c r="H103" s="3">
        <f t="shared" si="24"/>
        <v>0</v>
      </c>
      <c r="I103" s="3">
        <f t="shared" si="25"/>
        <v>0</v>
      </c>
      <c r="J103" s="3">
        <f t="shared" si="26"/>
        <v>0</v>
      </c>
      <c r="K103" s="3">
        <f t="shared" si="27"/>
        <v>0</v>
      </c>
      <c r="L103" s="3">
        <f t="shared" si="28"/>
        <v>0</v>
      </c>
      <c r="M103" s="35">
        <f t="shared" si="29"/>
        <v>0</v>
      </c>
      <c r="N103" s="3">
        <v>100</v>
      </c>
      <c r="O103" s="35">
        <f t="shared" si="21"/>
        <v>129.47388349177783</v>
      </c>
      <c r="P103" s="35">
        <f t="shared" si="22"/>
        <v>1.6914608111983254</v>
      </c>
      <c r="Q103" s="48">
        <f t="shared" si="23"/>
        <v>152.12973195475942</v>
      </c>
    </row>
    <row r="104" spans="2:17" x14ac:dyDescent="0.3">
      <c r="B104" s="9">
        <v>42439</v>
      </c>
      <c r="C104" s="3" t="s">
        <v>6</v>
      </c>
      <c r="D104" s="3" t="s">
        <v>31</v>
      </c>
      <c r="E104" s="3" t="s">
        <v>15</v>
      </c>
      <c r="F104" s="5" t="s">
        <v>13</v>
      </c>
      <c r="G104" s="25">
        <v>89</v>
      </c>
      <c r="H104" s="3">
        <f t="shared" si="24"/>
        <v>0</v>
      </c>
      <c r="I104" s="3">
        <f t="shared" si="25"/>
        <v>0</v>
      </c>
      <c r="J104" s="3">
        <f t="shared" si="26"/>
        <v>0</v>
      </c>
      <c r="K104" s="3">
        <f t="shared" si="27"/>
        <v>1</v>
      </c>
      <c r="L104" s="3">
        <f t="shared" si="28"/>
        <v>0</v>
      </c>
      <c r="M104" s="35">
        <f t="shared" si="29"/>
        <v>0</v>
      </c>
      <c r="N104" s="3">
        <v>101</v>
      </c>
      <c r="O104" s="35">
        <f t="shared" si="21"/>
        <v>84.23329158976189</v>
      </c>
      <c r="P104" s="35">
        <f t="shared" si="22"/>
        <v>1.0565893641370827</v>
      </c>
      <c r="Q104" s="48">
        <f t="shared" si="23"/>
        <v>85.179083039020171</v>
      </c>
    </row>
    <row r="105" spans="2:17" x14ac:dyDescent="0.3">
      <c r="B105" s="9">
        <v>42440</v>
      </c>
      <c r="C105" s="3" t="s">
        <v>7</v>
      </c>
      <c r="D105" s="3" t="s">
        <v>14</v>
      </c>
      <c r="E105" s="3" t="s">
        <v>15</v>
      </c>
      <c r="F105" s="5" t="s">
        <v>13</v>
      </c>
      <c r="G105" s="25">
        <v>151</v>
      </c>
      <c r="H105" s="3">
        <f t="shared" si="24"/>
        <v>0</v>
      </c>
      <c r="I105" s="3">
        <f t="shared" si="25"/>
        <v>0</v>
      </c>
      <c r="J105" s="3">
        <f t="shared" si="26"/>
        <v>0</v>
      </c>
      <c r="K105" s="3">
        <f t="shared" si="27"/>
        <v>0</v>
      </c>
      <c r="L105" s="3">
        <f t="shared" si="28"/>
        <v>1</v>
      </c>
      <c r="M105" s="35">
        <f t="shared" si="29"/>
        <v>0</v>
      </c>
      <c r="N105" s="3">
        <v>102</v>
      </c>
      <c r="O105" s="35">
        <f t="shared" si="21"/>
        <v>144.95938723295177</v>
      </c>
      <c r="P105" s="35">
        <f t="shared" si="22"/>
        <v>1.0416710699621052</v>
      </c>
      <c r="Q105" s="48">
        <f t="shared" si="23"/>
        <v>148.52246715939501</v>
      </c>
    </row>
    <row r="106" spans="2:17" x14ac:dyDescent="0.3">
      <c r="B106" s="9">
        <v>42441</v>
      </c>
      <c r="C106" s="3" t="s">
        <v>8</v>
      </c>
      <c r="D106" s="3" t="s">
        <v>26</v>
      </c>
      <c r="E106" s="3" t="s">
        <v>15</v>
      </c>
      <c r="F106" s="5" t="s">
        <v>13</v>
      </c>
      <c r="G106" s="25">
        <v>107</v>
      </c>
      <c r="H106" s="3">
        <f t="shared" si="24"/>
        <v>0</v>
      </c>
      <c r="I106" s="3">
        <f t="shared" si="25"/>
        <v>0</v>
      </c>
      <c r="J106" s="3">
        <f t="shared" si="26"/>
        <v>0</v>
      </c>
      <c r="K106" s="3">
        <f t="shared" si="27"/>
        <v>0</v>
      </c>
      <c r="L106" s="3">
        <f t="shared" si="28"/>
        <v>0</v>
      </c>
      <c r="M106" s="35">
        <f t="shared" si="29"/>
        <v>0</v>
      </c>
      <c r="N106" s="3">
        <v>103</v>
      </c>
      <c r="O106" s="35">
        <f t="shared" si="21"/>
        <v>130.1404835037134</v>
      </c>
      <c r="P106" s="35">
        <f t="shared" si="22"/>
        <v>0.82218843144951803</v>
      </c>
      <c r="Q106" s="48">
        <f t="shared" si="23"/>
        <v>115.89923834459293</v>
      </c>
    </row>
    <row r="107" spans="2:17" x14ac:dyDescent="0.3">
      <c r="B107" s="9">
        <v>42442</v>
      </c>
      <c r="C107" s="3" t="s">
        <v>9</v>
      </c>
      <c r="D107" s="3" t="s">
        <v>26</v>
      </c>
      <c r="E107" s="3" t="s">
        <v>12</v>
      </c>
      <c r="F107" s="5" t="s">
        <v>13</v>
      </c>
      <c r="G107" s="25">
        <v>97</v>
      </c>
      <c r="H107" s="3">
        <f t="shared" si="24"/>
        <v>0</v>
      </c>
      <c r="I107" s="3">
        <f t="shared" si="25"/>
        <v>0</v>
      </c>
      <c r="J107" s="3">
        <f t="shared" si="26"/>
        <v>0</v>
      </c>
      <c r="K107" s="3">
        <f t="shared" si="27"/>
        <v>0</v>
      </c>
      <c r="L107" s="3">
        <f t="shared" si="28"/>
        <v>0</v>
      </c>
      <c r="M107" s="35">
        <f t="shared" si="29"/>
        <v>0</v>
      </c>
      <c r="N107" s="3">
        <v>104</v>
      </c>
      <c r="O107" s="35">
        <f t="shared" si="21"/>
        <v>130.36268350769191</v>
      </c>
      <c r="P107" s="35">
        <f t="shared" si="22"/>
        <v>0.74407796303362084</v>
      </c>
      <c r="Q107" s="48">
        <f t="shared" si="23"/>
        <v>99.491746998373287</v>
      </c>
    </row>
    <row r="108" spans="2:17" x14ac:dyDescent="0.3">
      <c r="B108" s="9">
        <v>42443</v>
      </c>
      <c r="C108" s="3" t="s">
        <v>10</v>
      </c>
      <c r="D108" s="3" t="s">
        <v>11</v>
      </c>
      <c r="E108" s="3" t="s">
        <v>16</v>
      </c>
      <c r="F108" s="5" t="s">
        <v>13</v>
      </c>
      <c r="G108" s="25">
        <v>194</v>
      </c>
      <c r="H108" s="3">
        <f t="shared" si="24"/>
        <v>0</v>
      </c>
      <c r="I108" s="3">
        <f t="shared" si="25"/>
        <v>1</v>
      </c>
      <c r="J108" s="3">
        <f t="shared" si="26"/>
        <v>1</v>
      </c>
      <c r="K108" s="3">
        <f t="shared" si="27"/>
        <v>0</v>
      </c>
      <c r="L108" s="3">
        <f t="shared" si="28"/>
        <v>0</v>
      </c>
      <c r="M108" s="35">
        <f t="shared" si="29"/>
        <v>0</v>
      </c>
      <c r="N108" s="3">
        <v>105</v>
      </c>
      <c r="O108" s="35">
        <f t="shared" si="21"/>
        <v>170.97012220038687</v>
      </c>
      <c r="P108" s="35">
        <f t="shared" si="22"/>
        <v>1.1347011834770802</v>
      </c>
      <c r="Q108" s="48">
        <f t="shared" si="23"/>
        <v>179.21406965714729</v>
      </c>
    </row>
    <row r="109" spans="2:17" x14ac:dyDescent="0.3">
      <c r="B109" s="9">
        <v>42444</v>
      </c>
      <c r="C109" s="3" t="s">
        <v>4</v>
      </c>
      <c r="D109" s="3" t="s">
        <v>14</v>
      </c>
      <c r="E109" s="3" t="s">
        <v>16</v>
      </c>
      <c r="F109" s="5" t="s">
        <v>13</v>
      </c>
      <c r="G109" s="25">
        <v>187</v>
      </c>
      <c r="H109" s="3">
        <f t="shared" si="24"/>
        <v>0</v>
      </c>
      <c r="I109" s="3">
        <f t="shared" si="25"/>
        <v>1</v>
      </c>
      <c r="J109" s="3">
        <f t="shared" si="26"/>
        <v>0</v>
      </c>
      <c r="K109" s="3">
        <f t="shared" si="27"/>
        <v>0</v>
      </c>
      <c r="L109" s="3">
        <f t="shared" si="28"/>
        <v>1</v>
      </c>
      <c r="M109" s="35">
        <f t="shared" si="29"/>
        <v>0</v>
      </c>
      <c r="N109" s="3">
        <v>106</v>
      </c>
      <c r="O109" s="35">
        <f t="shared" si="21"/>
        <v>167.59371230850363</v>
      </c>
      <c r="P109" s="35">
        <f t="shared" si="22"/>
        <v>1.1157936501565979</v>
      </c>
      <c r="Q109" s="48">
        <f t="shared" si="23"/>
        <v>183.24823799859089</v>
      </c>
    </row>
    <row r="110" spans="2:17" x14ac:dyDescent="0.3">
      <c r="B110" s="9">
        <v>42445</v>
      </c>
      <c r="C110" s="3" t="s">
        <v>5</v>
      </c>
      <c r="D110" s="3" t="s">
        <v>14</v>
      </c>
      <c r="E110" s="3" t="s">
        <v>15</v>
      </c>
      <c r="F110" s="5" t="s">
        <v>13</v>
      </c>
      <c r="G110" s="25">
        <v>157</v>
      </c>
      <c r="H110" s="3">
        <f t="shared" si="24"/>
        <v>0</v>
      </c>
      <c r="I110" s="3">
        <f t="shared" si="25"/>
        <v>0</v>
      </c>
      <c r="J110" s="3">
        <f t="shared" si="26"/>
        <v>0</v>
      </c>
      <c r="K110" s="3">
        <f t="shared" si="27"/>
        <v>0</v>
      </c>
      <c r="L110" s="3">
        <f t="shared" si="28"/>
        <v>1</v>
      </c>
      <c r="M110" s="35">
        <f t="shared" si="29"/>
        <v>0</v>
      </c>
      <c r="N110" s="3">
        <v>107</v>
      </c>
      <c r="O110" s="35">
        <f t="shared" si="21"/>
        <v>146.0703872528444</v>
      </c>
      <c r="P110" s="35">
        <f t="shared" si="22"/>
        <v>1.0748242881579873</v>
      </c>
      <c r="Q110" s="48">
        <f t="shared" si="23"/>
        <v>171.63035710374982</v>
      </c>
    </row>
    <row r="111" spans="2:17" x14ac:dyDescent="0.3">
      <c r="B111" s="9">
        <v>42446</v>
      </c>
      <c r="C111" s="3" t="s">
        <v>6</v>
      </c>
      <c r="D111" s="3" t="s">
        <v>14</v>
      </c>
      <c r="E111" s="3" t="s">
        <v>29</v>
      </c>
      <c r="F111" s="5" t="s">
        <v>30</v>
      </c>
      <c r="G111" s="25">
        <v>116</v>
      </c>
      <c r="H111" s="3">
        <f t="shared" si="24"/>
        <v>1</v>
      </c>
      <c r="I111" s="3">
        <f t="shared" si="25"/>
        <v>0</v>
      </c>
      <c r="J111" s="3">
        <f t="shared" si="26"/>
        <v>0</v>
      </c>
      <c r="K111" s="3">
        <f t="shared" si="27"/>
        <v>0</v>
      </c>
      <c r="L111" s="3">
        <f t="shared" si="28"/>
        <v>1</v>
      </c>
      <c r="M111" s="35">
        <f t="shared" si="29"/>
        <v>1</v>
      </c>
      <c r="N111" s="3">
        <v>108</v>
      </c>
      <c r="O111" s="35">
        <f t="shared" si="21"/>
        <v>132.71950398623306</v>
      </c>
      <c r="P111" s="35">
        <f t="shared" si="22"/>
        <v>0.87402376075812205</v>
      </c>
      <c r="Q111" s="48">
        <f t="shared" si="23"/>
        <v>134.2097101701647</v>
      </c>
    </row>
    <row r="112" spans="2:17" x14ac:dyDescent="0.3">
      <c r="B112" s="9">
        <v>42447</v>
      </c>
      <c r="C112" s="3" t="s">
        <v>7</v>
      </c>
      <c r="D112" s="3" t="s">
        <v>14</v>
      </c>
      <c r="E112" s="3" t="s">
        <v>15</v>
      </c>
      <c r="F112" s="5" t="s">
        <v>13</v>
      </c>
      <c r="G112" s="25">
        <v>153</v>
      </c>
      <c r="H112" s="3">
        <f t="shared" si="24"/>
        <v>0</v>
      </c>
      <c r="I112" s="3">
        <f t="shared" si="25"/>
        <v>0</v>
      </c>
      <c r="J112" s="3">
        <f t="shared" si="26"/>
        <v>0</v>
      </c>
      <c r="K112" s="3">
        <f t="shared" si="27"/>
        <v>0</v>
      </c>
      <c r="L112" s="3">
        <f t="shared" si="28"/>
        <v>1</v>
      </c>
      <c r="M112" s="35">
        <f t="shared" si="29"/>
        <v>0</v>
      </c>
      <c r="N112" s="3">
        <v>109</v>
      </c>
      <c r="O112" s="35">
        <f t="shared" si="21"/>
        <v>146.51478726080143</v>
      </c>
      <c r="P112" s="35">
        <f t="shared" si="22"/>
        <v>1.0442631959575157</v>
      </c>
      <c r="Q112" s="48">
        <f t="shared" si="23"/>
        <v>150.11609868589136</v>
      </c>
    </row>
    <row r="113" spans="2:17" x14ac:dyDescent="0.3">
      <c r="B113" s="9">
        <v>42448</v>
      </c>
      <c r="C113" s="3" t="s">
        <v>8</v>
      </c>
      <c r="D113" s="3" t="s">
        <v>11</v>
      </c>
      <c r="E113" s="3" t="s">
        <v>12</v>
      </c>
      <c r="F113" s="5" t="s">
        <v>13</v>
      </c>
      <c r="G113" s="25">
        <v>127</v>
      </c>
      <c r="H113" s="3">
        <f t="shared" si="24"/>
        <v>0</v>
      </c>
      <c r="I113" s="3">
        <f t="shared" si="25"/>
        <v>0</v>
      </c>
      <c r="J113" s="3">
        <f t="shared" si="26"/>
        <v>1</v>
      </c>
      <c r="K113" s="3">
        <f t="shared" si="27"/>
        <v>0</v>
      </c>
      <c r="L113" s="3">
        <f t="shared" si="28"/>
        <v>0</v>
      </c>
      <c r="M113" s="35">
        <f t="shared" si="29"/>
        <v>0</v>
      </c>
      <c r="N113" s="3">
        <v>110</v>
      </c>
      <c r="O113" s="35">
        <f t="shared" si="21"/>
        <v>150.33559716064173</v>
      </c>
      <c r="P113" s="35">
        <f t="shared" si="22"/>
        <v>0.8447766357311477</v>
      </c>
      <c r="Q113" s="48">
        <f t="shared" si="23"/>
        <v>133.88440505141321</v>
      </c>
    </row>
    <row r="114" spans="2:17" x14ac:dyDescent="0.3">
      <c r="B114" s="9">
        <v>42449</v>
      </c>
      <c r="C114" s="3" t="s">
        <v>9</v>
      </c>
      <c r="D114" s="3" t="s">
        <v>11</v>
      </c>
      <c r="E114" s="3" t="s">
        <v>12</v>
      </c>
      <c r="F114" s="5" t="s">
        <v>13</v>
      </c>
      <c r="G114" s="25">
        <v>109</v>
      </c>
      <c r="H114" s="3">
        <f t="shared" si="24"/>
        <v>0</v>
      </c>
      <c r="I114" s="3">
        <f t="shared" si="25"/>
        <v>0</v>
      </c>
      <c r="J114" s="3">
        <f t="shared" si="26"/>
        <v>1</v>
      </c>
      <c r="K114" s="3">
        <f t="shared" si="27"/>
        <v>0</v>
      </c>
      <c r="L114" s="3">
        <f t="shared" si="28"/>
        <v>0</v>
      </c>
      <c r="M114" s="35">
        <f t="shared" si="29"/>
        <v>0</v>
      </c>
      <c r="N114" s="3">
        <v>111</v>
      </c>
      <c r="O114" s="35">
        <f t="shared" si="21"/>
        <v>150.55779716462024</v>
      </c>
      <c r="P114" s="35">
        <f t="shared" si="22"/>
        <v>0.72397446065725279</v>
      </c>
      <c r="Q114" s="48">
        <f t="shared" si="23"/>
        <v>114.90449460754591</v>
      </c>
    </row>
    <row r="115" spans="2:17" x14ac:dyDescent="0.3">
      <c r="B115" s="9">
        <v>42450</v>
      </c>
      <c r="C115" s="3" t="s">
        <v>10</v>
      </c>
      <c r="D115" s="3" t="s">
        <v>11</v>
      </c>
      <c r="E115" s="3" t="s">
        <v>16</v>
      </c>
      <c r="F115" s="5" t="s">
        <v>13</v>
      </c>
      <c r="G115" s="25">
        <v>191</v>
      </c>
      <c r="H115" s="3">
        <f t="shared" si="24"/>
        <v>0</v>
      </c>
      <c r="I115" s="3">
        <f t="shared" si="25"/>
        <v>1</v>
      </c>
      <c r="J115" s="3">
        <f t="shared" si="26"/>
        <v>1</v>
      </c>
      <c r="K115" s="3">
        <f t="shared" si="27"/>
        <v>0</v>
      </c>
      <c r="L115" s="3">
        <f t="shared" si="28"/>
        <v>0</v>
      </c>
      <c r="M115" s="35">
        <f t="shared" si="29"/>
        <v>0</v>
      </c>
      <c r="N115" s="3">
        <v>112</v>
      </c>
      <c r="O115" s="35">
        <f t="shared" si="21"/>
        <v>172.52552222823653</v>
      </c>
      <c r="P115" s="35">
        <f t="shared" si="22"/>
        <v>1.1070825784681486</v>
      </c>
      <c r="Q115" s="48">
        <f t="shared" si="23"/>
        <v>180.84446896521507</v>
      </c>
    </row>
    <row r="116" spans="2:17" x14ac:dyDescent="0.3">
      <c r="B116" s="9">
        <v>42451</v>
      </c>
      <c r="C116" s="3" t="s">
        <v>4</v>
      </c>
      <c r="D116" s="3" t="s">
        <v>11</v>
      </c>
      <c r="E116" s="3" t="s">
        <v>12</v>
      </c>
      <c r="F116" s="5" t="s">
        <v>13</v>
      </c>
      <c r="G116" s="25">
        <v>166</v>
      </c>
      <c r="H116" s="3">
        <f t="shared" si="24"/>
        <v>0</v>
      </c>
      <c r="I116" s="3">
        <f t="shared" si="25"/>
        <v>0</v>
      </c>
      <c r="J116" s="3">
        <f t="shared" si="26"/>
        <v>1</v>
      </c>
      <c r="K116" s="3">
        <f t="shared" si="27"/>
        <v>0</v>
      </c>
      <c r="L116" s="3">
        <f t="shared" si="28"/>
        <v>0</v>
      </c>
      <c r="M116" s="35">
        <f t="shared" si="29"/>
        <v>0</v>
      </c>
      <c r="N116" s="3">
        <v>113</v>
      </c>
      <c r="O116" s="35">
        <f t="shared" si="21"/>
        <v>151.00219717257727</v>
      </c>
      <c r="P116" s="35">
        <f t="shared" si="22"/>
        <v>1.0993217523204781</v>
      </c>
      <c r="Q116" s="48">
        <f t="shared" si="23"/>
        <v>165.1069493278751</v>
      </c>
    </row>
    <row r="117" spans="2:17" x14ac:dyDescent="0.3">
      <c r="B117" s="9">
        <v>42452</v>
      </c>
      <c r="C117" s="3" t="s">
        <v>5</v>
      </c>
      <c r="D117" s="3" t="s">
        <v>14</v>
      </c>
      <c r="E117" s="3" t="s">
        <v>15</v>
      </c>
      <c r="F117" s="5" t="s">
        <v>13</v>
      </c>
      <c r="G117" s="25">
        <v>164</v>
      </c>
      <c r="H117" s="3">
        <f t="shared" si="24"/>
        <v>0</v>
      </c>
      <c r="I117" s="3">
        <f t="shared" si="25"/>
        <v>0</v>
      </c>
      <c r="J117" s="3">
        <f t="shared" si="26"/>
        <v>0</v>
      </c>
      <c r="K117" s="3">
        <f t="shared" si="27"/>
        <v>0</v>
      </c>
      <c r="L117" s="3">
        <f t="shared" si="28"/>
        <v>1</v>
      </c>
      <c r="M117" s="35">
        <f t="shared" si="29"/>
        <v>0</v>
      </c>
      <c r="N117" s="3">
        <v>114</v>
      </c>
      <c r="O117" s="35">
        <f t="shared" si="21"/>
        <v>147.62578728069406</v>
      </c>
      <c r="P117" s="35">
        <f t="shared" si="22"/>
        <v>1.1109170221607163</v>
      </c>
      <c r="Q117" s="48">
        <f t="shared" si="23"/>
        <v>173.45792713515482</v>
      </c>
    </row>
    <row r="118" spans="2:17" x14ac:dyDescent="0.3">
      <c r="B118" s="9">
        <v>42453</v>
      </c>
      <c r="C118" s="3" t="s">
        <v>6</v>
      </c>
      <c r="D118" s="3" t="s">
        <v>14</v>
      </c>
      <c r="E118" s="3" t="s">
        <v>15</v>
      </c>
      <c r="F118" s="5" t="s">
        <v>13</v>
      </c>
      <c r="G118" s="25">
        <v>160</v>
      </c>
      <c r="H118" s="3">
        <f t="shared" si="24"/>
        <v>0</v>
      </c>
      <c r="I118" s="3">
        <f t="shared" si="25"/>
        <v>0</v>
      </c>
      <c r="J118" s="3">
        <f t="shared" si="26"/>
        <v>0</v>
      </c>
      <c r="K118" s="3">
        <f t="shared" si="27"/>
        <v>0</v>
      </c>
      <c r="L118" s="3">
        <f t="shared" si="28"/>
        <v>1</v>
      </c>
      <c r="M118" s="35">
        <f t="shared" si="29"/>
        <v>0</v>
      </c>
      <c r="N118" s="3">
        <v>115</v>
      </c>
      <c r="O118" s="35">
        <f t="shared" si="21"/>
        <v>147.84798728467257</v>
      </c>
      <c r="P118" s="35">
        <f t="shared" si="22"/>
        <v>1.0821926151211612</v>
      </c>
      <c r="Q118" s="48">
        <f t="shared" si="23"/>
        <v>149.50805968033433</v>
      </c>
    </row>
    <row r="119" spans="2:17" x14ac:dyDescent="0.3">
      <c r="B119" s="9">
        <v>42454</v>
      </c>
      <c r="C119" s="3" t="s">
        <v>7</v>
      </c>
      <c r="D119" s="3" t="s">
        <v>11</v>
      </c>
      <c r="E119" s="3" t="s">
        <v>16</v>
      </c>
      <c r="F119" s="5" t="s">
        <v>30</v>
      </c>
      <c r="G119" s="25">
        <v>119</v>
      </c>
      <c r="H119" s="3">
        <f t="shared" si="24"/>
        <v>0</v>
      </c>
      <c r="I119" s="3">
        <f t="shared" si="25"/>
        <v>1</v>
      </c>
      <c r="J119" s="3">
        <f t="shared" si="26"/>
        <v>1</v>
      </c>
      <c r="K119" s="3">
        <f t="shared" si="27"/>
        <v>0</v>
      </c>
      <c r="L119" s="3">
        <f t="shared" si="28"/>
        <v>0</v>
      </c>
      <c r="M119" s="35">
        <f t="shared" si="29"/>
        <v>1</v>
      </c>
      <c r="N119" s="3">
        <v>116</v>
      </c>
      <c r="O119" s="35">
        <f t="shared" si="21"/>
        <v>127.45160533912662</v>
      </c>
      <c r="P119" s="35">
        <f t="shared" si="22"/>
        <v>0.93368772941981892</v>
      </c>
      <c r="Q119" s="48">
        <f t="shared" si="23"/>
        <v>130.5843466209798</v>
      </c>
    </row>
    <row r="120" spans="2:17" x14ac:dyDescent="0.3">
      <c r="B120" s="9">
        <v>42455</v>
      </c>
      <c r="C120" s="3" t="s">
        <v>8</v>
      </c>
      <c r="D120" s="3" t="s">
        <v>11</v>
      </c>
      <c r="E120" s="3" t="s">
        <v>15</v>
      </c>
      <c r="F120" s="5" t="s">
        <v>13</v>
      </c>
      <c r="G120" s="25">
        <v>136</v>
      </c>
      <c r="H120" s="3">
        <f t="shared" si="24"/>
        <v>0</v>
      </c>
      <c r="I120" s="3">
        <f t="shared" si="25"/>
        <v>0</v>
      </c>
      <c r="J120" s="3">
        <f t="shared" si="26"/>
        <v>1</v>
      </c>
      <c r="K120" s="3">
        <f t="shared" si="27"/>
        <v>0</v>
      </c>
      <c r="L120" s="3">
        <f t="shared" si="28"/>
        <v>0</v>
      </c>
      <c r="M120" s="35">
        <f t="shared" si="29"/>
        <v>0</v>
      </c>
      <c r="N120" s="3">
        <v>117</v>
      </c>
      <c r="O120" s="35">
        <f t="shared" si="21"/>
        <v>151.89099718849138</v>
      </c>
      <c r="P120" s="35">
        <f t="shared" si="22"/>
        <v>0.8953789396169991</v>
      </c>
      <c r="Q120" s="48">
        <f t="shared" si="23"/>
        <v>135.26959798827355</v>
      </c>
    </row>
    <row r="121" spans="2:17" x14ac:dyDescent="0.3">
      <c r="B121" s="9">
        <v>42456</v>
      </c>
      <c r="C121" s="3" t="s">
        <v>9</v>
      </c>
      <c r="D121" s="3" t="s">
        <v>11</v>
      </c>
      <c r="E121" s="3" t="s">
        <v>15</v>
      </c>
      <c r="F121" s="5" t="s">
        <v>30</v>
      </c>
      <c r="G121" s="25">
        <v>91</v>
      </c>
      <c r="H121" s="3">
        <f t="shared" si="24"/>
        <v>0</v>
      </c>
      <c r="I121" s="3">
        <f t="shared" si="25"/>
        <v>0</v>
      </c>
      <c r="J121" s="3">
        <f t="shared" si="26"/>
        <v>1</v>
      </c>
      <c r="K121" s="3">
        <f t="shared" si="27"/>
        <v>0</v>
      </c>
      <c r="L121" s="3">
        <f t="shared" si="28"/>
        <v>0</v>
      </c>
      <c r="M121" s="35">
        <f t="shared" si="29"/>
        <v>1</v>
      </c>
      <c r="N121" s="3">
        <v>118</v>
      </c>
      <c r="O121" s="35">
        <f t="shared" si="21"/>
        <v>106.1504802874459</v>
      </c>
      <c r="P121" s="35">
        <f t="shared" si="22"/>
        <v>0.85727355875903932</v>
      </c>
      <c r="Q121" s="48">
        <f t="shared" si="23"/>
        <v>81.01318908406202</v>
      </c>
    </row>
    <row r="122" spans="2:17" x14ac:dyDescent="0.3">
      <c r="B122" s="9">
        <v>42457</v>
      </c>
      <c r="C122" s="3" t="s">
        <v>10</v>
      </c>
      <c r="D122" s="3" t="s">
        <v>11</v>
      </c>
      <c r="E122" s="3" t="s">
        <v>16</v>
      </c>
      <c r="F122" s="5" t="s">
        <v>13</v>
      </c>
      <c r="G122" s="25">
        <v>194</v>
      </c>
      <c r="H122" s="3">
        <f t="shared" si="24"/>
        <v>0</v>
      </c>
      <c r="I122" s="3">
        <f t="shared" si="25"/>
        <v>1</v>
      </c>
      <c r="J122" s="3">
        <f t="shared" si="26"/>
        <v>1</v>
      </c>
      <c r="K122" s="3">
        <f t="shared" si="27"/>
        <v>0</v>
      </c>
      <c r="L122" s="3">
        <f t="shared" si="28"/>
        <v>0</v>
      </c>
      <c r="M122" s="35">
        <f t="shared" si="29"/>
        <v>0</v>
      </c>
      <c r="N122" s="3">
        <v>119</v>
      </c>
      <c r="O122" s="35">
        <f t="shared" si="21"/>
        <v>174.08092225608618</v>
      </c>
      <c r="P122" s="35">
        <f t="shared" si="22"/>
        <v>1.1144242429656441</v>
      </c>
      <c r="Q122" s="48">
        <f t="shared" si="23"/>
        <v>182.47486827328288</v>
      </c>
    </row>
    <row r="123" spans="2:17" x14ac:dyDescent="0.3">
      <c r="B123" s="9">
        <v>42458</v>
      </c>
      <c r="C123" s="3" t="s">
        <v>4</v>
      </c>
      <c r="D123" s="3" t="s">
        <v>14</v>
      </c>
      <c r="E123" s="3" t="s">
        <v>15</v>
      </c>
      <c r="F123" s="5" t="s">
        <v>13</v>
      </c>
      <c r="G123" s="25">
        <v>156</v>
      </c>
      <c r="H123" s="3">
        <f t="shared" si="24"/>
        <v>0</v>
      </c>
      <c r="I123" s="3">
        <f t="shared" si="25"/>
        <v>0</v>
      </c>
      <c r="J123" s="3">
        <f t="shared" si="26"/>
        <v>0</v>
      </c>
      <c r="K123" s="3">
        <f t="shared" si="27"/>
        <v>0</v>
      </c>
      <c r="L123" s="3">
        <f t="shared" si="28"/>
        <v>1</v>
      </c>
      <c r="M123" s="35">
        <f t="shared" si="29"/>
        <v>0</v>
      </c>
      <c r="N123" s="3">
        <v>120</v>
      </c>
      <c r="O123" s="35">
        <f t="shared" si="21"/>
        <v>148.95898730456517</v>
      </c>
      <c r="P123" s="35">
        <f t="shared" si="22"/>
        <v>1.0472681294552479</v>
      </c>
      <c r="Q123" s="48">
        <f t="shared" si="23"/>
        <v>162.87288813896049</v>
      </c>
    </row>
    <row r="124" spans="2:17" x14ac:dyDescent="0.3">
      <c r="B124" s="9">
        <v>42459</v>
      </c>
      <c r="C124" s="3" t="s">
        <v>5</v>
      </c>
      <c r="D124" s="3" t="s">
        <v>14</v>
      </c>
      <c r="E124" s="3" t="s">
        <v>12</v>
      </c>
      <c r="F124" s="5" t="s">
        <v>13</v>
      </c>
      <c r="G124" s="25">
        <v>160</v>
      </c>
      <c r="H124" s="3">
        <f t="shared" si="24"/>
        <v>0</v>
      </c>
      <c r="I124" s="3">
        <f t="shared" si="25"/>
        <v>0</v>
      </c>
      <c r="J124" s="3">
        <f t="shared" si="26"/>
        <v>0</v>
      </c>
      <c r="K124" s="3">
        <f t="shared" si="27"/>
        <v>0</v>
      </c>
      <c r="L124" s="3">
        <f t="shared" si="28"/>
        <v>1</v>
      </c>
      <c r="M124" s="35">
        <f t="shared" si="29"/>
        <v>0</v>
      </c>
      <c r="N124" s="3">
        <v>121</v>
      </c>
      <c r="O124" s="35">
        <f t="shared" si="21"/>
        <v>149.18118730854371</v>
      </c>
      <c r="P124" s="35">
        <f t="shared" si="22"/>
        <v>1.0725212936473034</v>
      </c>
      <c r="Q124" s="48">
        <f t="shared" si="23"/>
        <v>175.28549716655979</v>
      </c>
    </row>
    <row r="125" spans="2:17" x14ac:dyDescent="0.3">
      <c r="B125" s="9">
        <v>42460</v>
      </c>
      <c r="C125" s="3" t="s">
        <v>6</v>
      </c>
      <c r="D125" s="3" t="s">
        <v>31</v>
      </c>
      <c r="E125" s="3" t="s">
        <v>15</v>
      </c>
      <c r="F125" s="5" t="s">
        <v>13</v>
      </c>
      <c r="G125" s="25">
        <v>96</v>
      </c>
      <c r="H125" s="3">
        <f t="shared" si="24"/>
        <v>0</v>
      </c>
      <c r="I125" s="3">
        <f t="shared" si="25"/>
        <v>0</v>
      </c>
      <c r="J125" s="3">
        <f t="shared" si="26"/>
        <v>0</v>
      </c>
      <c r="K125" s="3">
        <f t="shared" si="27"/>
        <v>1</v>
      </c>
      <c r="L125" s="3">
        <f t="shared" si="28"/>
        <v>0</v>
      </c>
      <c r="M125" s="35">
        <f t="shared" si="29"/>
        <v>0</v>
      </c>
      <c r="N125" s="3">
        <v>122</v>
      </c>
      <c r="O125" s="35">
        <f t="shared" si="21"/>
        <v>88.899491673310877</v>
      </c>
      <c r="P125" s="35">
        <f t="shared" si="22"/>
        <v>1.0798711915337174</v>
      </c>
      <c r="Q125" s="48">
        <f t="shared" si="23"/>
        <v>89.897676327871437</v>
      </c>
    </row>
    <row r="126" spans="2:17" x14ac:dyDescent="0.3">
      <c r="B126" s="9">
        <v>42461</v>
      </c>
      <c r="C126" s="3" t="s">
        <v>7</v>
      </c>
      <c r="D126" s="3" t="s">
        <v>31</v>
      </c>
      <c r="E126" s="3" t="s">
        <v>16</v>
      </c>
      <c r="F126" s="5" t="s">
        <v>13</v>
      </c>
      <c r="G126" s="25">
        <v>99</v>
      </c>
      <c r="H126" s="3">
        <f t="shared" si="24"/>
        <v>0</v>
      </c>
      <c r="I126" s="3">
        <f t="shared" si="25"/>
        <v>1</v>
      </c>
      <c r="J126" s="3">
        <f t="shared" si="26"/>
        <v>0</v>
      </c>
      <c r="K126" s="3">
        <f t="shared" si="27"/>
        <v>1</v>
      </c>
      <c r="L126" s="3">
        <f t="shared" si="28"/>
        <v>0</v>
      </c>
      <c r="M126" s="35">
        <f t="shared" si="29"/>
        <v>0</v>
      </c>
      <c r="N126" s="3">
        <v>123</v>
      </c>
      <c r="O126" s="35">
        <f t="shared" si="21"/>
        <v>110.86721673692716</v>
      </c>
      <c r="P126" s="35">
        <f t="shared" si="22"/>
        <v>0.8929600914841539</v>
      </c>
      <c r="Q126" s="48">
        <f t="shared" si="23"/>
        <v>113.59231624235734</v>
      </c>
    </row>
    <row r="127" spans="2:17" x14ac:dyDescent="0.3">
      <c r="B127" s="9">
        <v>42462</v>
      </c>
      <c r="C127" s="3" t="s">
        <v>8</v>
      </c>
      <c r="D127" s="3" t="s">
        <v>14</v>
      </c>
      <c r="E127" s="3" t="s">
        <v>16</v>
      </c>
      <c r="F127" s="5" t="s">
        <v>13</v>
      </c>
      <c r="G127" s="25">
        <v>152</v>
      </c>
      <c r="H127" s="3">
        <f t="shared" si="24"/>
        <v>0</v>
      </c>
      <c r="I127" s="3">
        <f t="shared" si="25"/>
        <v>1</v>
      </c>
      <c r="J127" s="3">
        <f t="shared" si="26"/>
        <v>0</v>
      </c>
      <c r="K127" s="3">
        <f t="shared" si="27"/>
        <v>0</v>
      </c>
      <c r="L127" s="3">
        <f t="shared" si="28"/>
        <v>1</v>
      </c>
      <c r="M127" s="35">
        <f t="shared" si="29"/>
        <v>0</v>
      </c>
      <c r="N127" s="3">
        <v>124</v>
      </c>
      <c r="O127" s="35">
        <f t="shared" si="21"/>
        <v>171.59331238011706</v>
      </c>
      <c r="P127" s="35">
        <f t="shared" si="22"/>
        <v>0.88581540790637836</v>
      </c>
      <c r="Q127" s="48">
        <f t="shared" si="23"/>
        <v>152.81589306000933</v>
      </c>
    </row>
    <row r="128" spans="2:17" ht="15" thickBot="1" x14ac:dyDescent="0.35">
      <c r="B128" s="10">
        <v>42463</v>
      </c>
      <c r="C128" s="7" t="s">
        <v>9</v>
      </c>
      <c r="D128" s="7" t="s">
        <v>11</v>
      </c>
      <c r="E128" s="7" t="s">
        <v>29</v>
      </c>
      <c r="F128" s="8" t="s">
        <v>13</v>
      </c>
      <c r="G128" s="27">
        <v>124</v>
      </c>
      <c r="H128" s="7">
        <f t="shared" si="24"/>
        <v>1</v>
      </c>
      <c r="I128" s="7">
        <f t="shared" si="25"/>
        <v>0</v>
      </c>
      <c r="J128" s="7">
        <f t="shared" si="26"/>
        <v>1</v>
      </c>
      <c r="K128" s="7">
        <f t="shared" si="27"/>
        <v>0</v>
      </c>
      <c r="L128" s="7">
        <f t="shared" si="28"/>
        <v>0</v>
      </c>
      <c r="M128" s="50">
        <f t="shared" si="29"/>
        <v>0</v>
      </c>
      <c r="N128" s="7">
        <v>125</v>
      </c>
      <c r="O128" s="50">
        <f t="shared" si="21"/>
        <v>186.0582308547537</v>
      </c>
      <c r="P128" s="50">
        <f t="shared" si="22"/>
        <v>0.66645801924667636</v>
      </c>
      <c r="Q128" s="43">
        <f t="shared" si="23"/>
        <v>141.99813883145362</v>
      </c>
    </row>
    <row r="129" spans="2:17" ht="15" thickBot="1" x14ac:dyDescent="0.35">
      <c r="B129" s="36">
        <v>42464</v>
      </c>
      <c r="C129" t="s">
        <v>10</v>
      </c>
      <c r="D129" t="s">
        <v>11</v>
      </c>
      <c r="E129" t="s">
        <v>70</v>
      </c>
      <c r="F129" t="s">
        <v>30</v>
      </c>
      <c r="G129">
        <v>200</v>
      </c>
      <c r="H129" s="7">
        <f t="shared" si="24"/>
        <v>0</v>
      </c>
      <c r="I129" s="7">
        <f t="shared" si="25"/>
        <v>0</v>
      </c>
      <c r="J129" s="7">
        <f t="shared" si="26"/>
        <v>1</v>
      </c>
      <c r="K129" s="7">
        <f t="shared" si="27"/>
        <v>0</v>
      </c>
      <c r="L129" s="7">
        <f t="shared" si="28"/>
        <v>0</v>
      </c>
      <c r="M129" s="50">
        <f t="shared" si="29"/>
        <v>1</v>
      </c>
      <c r="N129" s="7">
        <v>125</v>
      </c>
      <c r="O129" s="50">
        <f t="shared" si="21"/>
        <v>107.70588031529556</v>
      </c>
      <c r="P129" s="50">
        <f t="shared" si="22"/>
        <v>1.856908828139419</v>
      </c>
      <c r="Q129" s="43">
        <f t="shared" si="23"/>
        <v>112.89931181476379</v>
      </c>
    </row>
    <row r="130" spans="2:17" ht="15" thickBot="1" x14ac:dyDescent="0.35">
      <c r="B130" s="36">
        <v>42465</v>
      </c>
      <c r="C130" t="s">
        <v>4</v>
      </c>
      <c r="D130" t="s">
        <v>14</v>
      </c>
      <c r="E130" t="s">
        <v>32</v>
      </c>
      <c r="F130" t="s">
        <v>13</v>
      </c>
      <c r="G130">
        <v>220</v>
      </c>
      <c r="H130" s="7">
        <f t="shared" si="24"/>
        <v>1</v>
      </c>
      <c r="I130" s="7">
        <f t="shared" si="25"/>
        <v>0</v>
      </c>
      <c r="J130" s="7">
        <f t="shared" si="26"/>
        <v>0</v>
      </c>
      <c r="K130" s="7">
        <f t="shared" si="27"/>
        <v>0</v>
      </c>
      <c r="L130" s="7">
        <f t="shared" si="28"/>
        <v>1</v>
      </c>
      <c r="M130" s="50">
        <f t="shared" si="29"/>
        <v>0</v>
      </c>
      <c r="N130" s="7">
        <v>125</v>
      </c>
      <c r="O130" s="50">
        <f t="shared" si="21"/>
        <v>182.45962095889195</v>
      </c>
      <c r="P130" s="50">
        <f t="shared" si="22"/>
        <v>1.2057462294606316</v>
      </c>
      <c r="Q130" s="43">
        <f t="shared" si="23"/>
        <v>199.50273543115028</v>
      </c>
    </row>
    <row r="131" spans="2:17" ht="15" thickBot="1" x14ac:dyDescent="0.35">
      <c r="B131" s="36">
        <v>42466</v>
      </c>
      <c r="C131" t="s">
        <v>5</v>
      </c>
      <c r="D131" t="s">
        <v>11</v>
      </c>
      <c r="E131" t="s">
        <v>70</v>
      </c>
      <c r="F131" t="s">
        <v>30</v>
      </c>
      <c r="G131">
        <v>220</v>
      </c>
      <c r="H131" s="7">
        <f t="shared" si="24"/>
        <v>0</v>
      </c>
      <c r="I131" s="7">
        <f t="shared" si="25"/>
        <v>0</v>
      </c>
      <c r="J131" s="7">
        <f t="shared" si="26"/>
        <v>1</v>
      </c>
      <c r="K131" s="7">
        <f t="shared" si="27"/>
        <v>0</v>
      </c>
      <c r="L131" s="7">
        <f t="shared" si="28"/>
        <v>0</v>
      </c>
      <c r="M131" s="50">
        <f t="shared" si="29"/>
        <v>1</v>
      </c>
      <c r="N131" s="7">
        <v>125</v>
      </c>
      <c r="O131" s="50">
        <f t="shared" si="21"/>
        <v>107.70588031529556</v>
      </c>
      <c r="P131" s="50">
        <f t="shared" si="22"/>
        <v>2.0425997109533611</v>
      </c>
      <c r="Q131" s="43">
        <f t="shared" si="23"/>
        <v>126.55267811873313</v>
      </c>
    </row>
    <row r="132" spans="2:17" ht="15" thickBot="1" x14ac:dyDescent="0.35">
      <c r="B132" s="36">
        <v>42467</v>
      </c>
      <c r="C132" t="s">
        <v>6</v>
      </c>
      <c r="D132" t="s">
        <v>11</v>
      </c>
      <c r="E132" t="s">
        <v>70</v>
      </c>
      <c r="F132" t="s">
        <v>30</v>
      </c>
      <c r="G132">
        <v>220</v>
      </c>
      <c r="H132" s="7">
        <f t="shared" si="24"/>
        <v>0</v>
      </c>
      <c r="I132" s="7">
        <f t="shared" si="25"/>
        <v>0</v>
      </c>
      <c r="J132" s="7">
        <f t="shared" si="26"/>
        <v>1</v>
      </c>
      <c r="K132" s="7">
        <f t="shared" si="27"/>
        <v>0</v>
      </c>
      <c r="L132" s="7">
        <f t="shared" si="28"/>
        <v>0</v>
      </c>
      <c r="M132" s="50">
        <f t="shared" si="29"/>
        <v>1</v>
      </c>
      <c r="N132" s="7">
        <v>125</v>
      </c>
      <c r="O132" s="50">
        <f t="shared" si="21"/>
        <v>107.70588031529556</v>
      </c>
      <c r="P132" s="50">
        <f t="shared" si="22"/>
        <v>2.0425997109533611</v>
      </c>
      <c r="Q132" s="43">
        <f t="shared" si="23"/>
        <v>108.91522757828942</v>
      </c>
    </row>
    <row r="133" spans="2:17" ht="15" thickBot="1" x14ac:dyDescent="0.35">
      <c r="B133" s="36">
        <v>42468</v>
      </c>
      <c r="C133" t="s">
        <v>7</v>
      </c>
      <c r="D133" t="s">
        <v>26</v>
      </c>
      <c r="E133" t="s">
        <v>70</v>
      </c>
      <c r="F133" t="s">
        <v>30</v>
      </c>
      <c r="G133">
        <v>200</v>
      </c>
      <c r="H133" s="7">
        <f t="shared" si="24"/>
        <v>0</v>
      </c>
      <c r="I133" s="7">
        <f t="shared" si="25"/>
        <v>0</v>
      </c>
      <c r="J133" s="7">
        <f t="shared" si="26"/>
        <v>0</v>
      </c>
      <c r="K133" s="7">
        <f t="shared" si="27"/>
        <v>0</v>
      </c>
      <c r="L133" s="7">
        <f t="shared" si="28"/>
        <v>0</v>
      </c>
      <c r="M133" s="50">
        <f t="shared" si="29"/>
        <v>1</v>
      </c>
      <c r="N133" s="7">
        <v>125</v>
      </c>
      <c r="O133" s="50">
        <f t="shared" si="21"/>
        <v>89.066166686216889</v>
      </c>
      <c r="P133" s="50">
        <f t="shared" si="22"/>
        <v>2.2455215873902685</v>
      </c>
      <c r="Q133" s="43">
        <f t="shared" si="23"/>
        <v>91.255399661760052</v>
      </c>
    </row>
    <row r="134" spans="2:17" ht="15" thickBot="1" x14ac:dyDescent="0.35">
      <c r="B134" s="36">
        <v>42469</v>
      </c>
      <c r="C134" t="s">
        <v>8</v>
      </c>
      <c r="D134" t="s">
        <v>11</v>
      </c>
      <c r="E134" t="s">
        <v>70</v>
      </c>
      <c r="F134" t="s">
        <v>30</v>
      </c>
      <c r="G134">
        <v>8</v>
      </c>
      <c r="H134" s="7">
        <f t="shared" si="24"/>
        <v>0</v>
      </c>
      <c r="I134" s="7">
        <f t="shared" si="25"/>
        <v>0</v>
      </c>
      <c r="J134" s="7">
        <f t="shared" si="26"/>
        <v>1</v>
      </c>
      <c r="K134" s="7">
        <f t="shared" si="27"/>
        <v>0</v>
      </c>
      <c r="L134" s="7">
        <f t="shared" si="28"/>
        <v>0</v>
      </c>
      <c r="M134" s="50">
        <f t="shared" si="29"/>
        <v>1</v>
      </c>
      <c r="N134" s="7">
        <v>125</v>
      </c>
      <c r="O134" s="50">
        <f t="shared" si="21"/>
        <v>107.70588031529556</v>
      </c>
      <c r="P134" s="50">
        <f t="shared" si="22"/>
        <v>7.4276353125576761E-2</v>
      </c>
      <c r="Q134" s="43">
        <f t="shared" si="23"/>
        <v>95.919648964731664</v>
      </c>
    </row>
    <row r="135" spans="2:17" ht="15" thickBot="1" x14ac:dyDescent="0.35">
      <c r="B135" s="36">
        <v>42470</v>
      </c>
      <c r="C135" t="s">
        <v>9</v>
      </c>
      <c r="D135" t="s">
        <v>26</v>
      </c>
      <c r="E135" t="s">
        <v>70</v>
      </c>
      <c r="F135" t="s">
        <v>30</v>
      </c>
      <c r="G135">
        <v>151</v>
      </c>
      <c r="H135" s="7">
        <f t="shared" si="24"/>
        <v>0</v>
      </c>
      <c r="I135" s="7">
        <f t="shared" si="25"/>
        <v>0</v>
      </c>
      <c r="J135" s="7">
        <f t="shared" si="26"/>
        <v>0</v>
      </c>
      <c r="K135" s="7">
        <f t="shared" si="27"/>
        <v>0</v>
      </c>
      <c r="L135" s="7">
        <f t="shared" si="28"/>
        <v>0</v>
      </c>
      <c r="M135" s="50">
        <f t="shared" si="29"/>
        <v>1</v>
      </c>
      <c r="N135" s="7">
        <v>125</v>
      </c>
      <c r="O135" s="50">
        <f t="shared" si="21"/>
        <v>89.066166686216889</v>
      </c>
      <c r="P135" s="50">
        <f t="shared" si="22"/>
        <v>1.6953687984796528</v>
      </c>
      <c r="Q135" s="43">
        <f t="shared" si="23"/>
        <v>67.974578948715632</v>
      </c>
    </row>
    <row r="136" spans="2:17" ht="15" thickBot="1" x14ac:dyDescent="0.35">
      <c r="B136" s="36">
        <v>42471</v>
      </c>
      <c r="C136" t="s">
        <v>10</v>
      </c>
      <c r="D136" t="s">
        <v>11</v>
      </c>
      <c r="E136" t="s">
        <v>70</v>
      </c>
      <c r="F136" t="s">
        <v>30</v>
      </c>
      <c r="G136">
        <v>151</v>
      </c>
      <c r="H136" s="7">
        <f t="shared" si="24"/>
        <v>0</v>
      </c>
      <c r="I136" s="7">
        <f t="shared" si="25"/>
        <v>0</v>
      </c>
      <c r="J136" s="7">
        <f t="shared" si="26"/>
        <v>1</v>
      </c>
      <c r="K136" s="7">
        <f t="shared" si="27"/>
        <v>0</v>
      </c>
      <c r="L136" s="7">
        <f t="shared" si="28"/>
        <v>0</v>
      </c>
      <c r="M136" s="50">
        <f t="shared" si="29"/>
        <v>1</v>
      </c>
      <c r="N136" s="7">
        <v>125</v>
      </c>
      <c r="O136" s="50">
        <f t="shared" si="21"/>
        <v>107.70588031529556</v>
      </c>
      <c r="P136" s="50">
        <f t="shared" si="22"/>
        <v>1.4019661652452613</v>
      </c>
      <c r="Q136" s="43">
        <f t="shared" si="23"/>
        <v>112.89931181476379</v>
      </c>
    </row>
    <row r="137" spans="2:17" ht="15" thickBot="1" x14ac:dyDescent="0.35">
      <c r="B137" s="36">
        <v>42472</v>
      </c>
      <c r="C137" t="s">
        <v>4</v>
      </c>
      <c r="D137" t="s">
        <v>26</v>
      </c>
      <c r="E137" t="s">
        <v>70</v>
      </c>
      <c r="F137" t="s">
        <v>30</v>
      </c>
      <c r="G137">
        <v>156</v>
      </c>
      <c r="H137" s="7">
        <f t="shared" si="24"/>
        <v>0</v>
      </c>
      <c r="I137" s="7">
        <f t="shared" si="25"/>
        <v>0</v>
      </c>
      <c r="J137" s="7">
        <f t="shared" si="26"/>
        <v>0</v>
      </c>
      <c r="K137" s="7">
        <f t="shared" si="27"/>
        <v>0</v>
      </c>
      <c r="L137" s="7">
        <f t="shared" si="28"/>
        <v>0</v>
      </c>
      <c r="M137" s="50">
        <f t="shared" si="29"/>
        <v>1</v>
      </c>
      <c r="N137" s="7">
        <v>125</v>
      </c>
      <c r="O137" s="50">
        <f t="shared" si="21"/>
        <v>89.066166686216889</v>
      </c>
      <c r="P137" s="50">
        <f t="shared" si="22"/>
        <v>1.7515068381644094</v>
      </c>
      <c r="Q137" s="43">
        <f t="shared" si="23"/>
        <v>97.385623158070644</v>
      </c>
    </row>
    <row r="138" spans="2:17" ht="15" thickBot="1" x14ac:dyDescent="0.35">
      <c r="B138" s="36">
        <v>42473</v>
      </c>
      <c r="C138" t="s">
        <v>5</v>
      </c>
      <c r="D138" t="s">
        <v>11</v>
      </c>
      <c r="E138" t="s">
        <v>32</v>
      </c>
      <c r="F138" t="s">
        <v>30</v>
      </c>
      <c r="G138">
        <v>156</v>
      </c>
      <c r="H138" s="7">
        <f t="shared" si="24"/>
        <v>1</v>
      </c>
      <c r="I138" s="7">
        <f t="shared" si="25"/>
        <v>0</v>
      </c>
      <c r="J138" s="7">
        <f t="shared" si="26"/>
        <v>1</v>
      </c>
      <c r="K138" s="7">
        <f t="shared" si="27"/>
        <v>0</v>
      </c>
      <c r="L138" s="7">
        <f t="shared" si="28"/>
        <v>0</v>
      </c>
      <c r="M138" s="50">
        <f t="shared" si="29"/>
        <v>1</v>
      </c>
      <c r="N138" s="7">
        <v>125</v>
      </c>
      <c r="O138" s="50">
        <f t="shared" si="21"/>
        <v>140.09551394972971</v>
      </c>
      <c r="P138" s="50">
        <f t="shared" si="22"/>
        <v>1.113526019512497</v>
      </c>
      <c r="Q138" s="43">
        <f t="shared" si="23"/>
        <v>164.6099770120056</v>
      </c>
    </row>
    <row r="139" spans="2:17" x14ac:dyDescent="0.3">
      <c r="B139" s="36"/>
    </row>
    <row r="140" spans="2:17" x14ac:dyDescent="0.3">
      <c r="B140" s="36"/>
    </row>
    <row r="141" spans="2:17" x14ac:dyDescent="0.3">
      <c r="B141" s="36"/>
    </row>
    <row r="142" spans="2:17" x14ac:dyDescent="0.3">
      <c r="B142" s="36"/>
    </row>
  </sheetData>
  <mergeCells count="2">
    <mergeCell ref="D2:F2"/>
    <mergeCell ref="G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AB140"/>
  <sheetViews>
    <sheetView topLeftCell="E3" workbookViewId="0">
      <selection activeCell="U22" sqref="U22"/>
    </sheetView>
  </sheetViews>
  <sheetFormatPr defaultRowHeight="14.4" x14ac:dyDescent="0.3"/>
  <cols>
    <col min="20" max="20" width="11.6640625" customWidth="1"/>
    <col min="21" max="21" width="15" customWidth="1"/>
  </cols>
  <sheetData>
    <row r="1" spans="2:25" ht="15" thickBot="1" x14ac:dyDescent="0.35"/>
    <row r="2" spans="2:25" ht="15" thickBot="1" x14ac:dyDescent="0.35">
      <c r="B2" s="2"/>
      <c r="C2" s="1"/>
      <c r="D2" s="61" t="s">
        <v>1</v>
      </c>
      <c r="E2" s="59"/>
      <c r="F2" s="60"/>
      <c r="G2" s="58" t="s">
        <v>27</v>
      </c>
      <c r="H2" s="59"/>
      <c r="I2" s="59"/>
      <c r="J2" s="59"/>
      <c r="K2" s="60"/>
      <c r="T2" t="s">
        <v>61</v>
      </c>
    </row>
    <row r="3" spans="2:25" x14ac:dyDescent="0.3">
      <c r="B3" s="53" t="s">
        <v>0</v>
      </c>
      <c r="C3" s="46" t="s">
        <v>25</v>
      </c>
      <c r="D3" s="46" t="s">
        <v>2</v>
      </c>
      <c r="E3" s="46" t="s">
        <v>3</v>
      </c>
      <c r="F3" s="47" t="s">
        <v>28</v>
      </c>
      <c r="G3" s="54" t="s">
        <v>18</v>
      </c>
      <c r="H3" s="46" t="s">
        <v>15</v>
      </c>
      <c r="I3" s="46" t="s">
        <v>16</v>
      </c>
      <c r="J3" s="46" t="s">
        <v>11</v>
      </c>
      <c r="K3" s="46" t="s">
        <v>14</v>
      </c>
      <c r="L3" s="46" t="s">
        <v>33</v>
      </c>
      <c r="M3" s="46" t="s">
        <v>34</v>
      </c>
      <c r="N3" s="46" t="s">
        <v>58</v>
      </c>
      <c r="O3" s="46" t="s">
        <v>63</v>
      </c>
      <c r="P3" s="47" t="s">
        <v>66</v>
      </c>
    </row>
    <row r="4" spans="2:25" x14ac:dyDescent="0.3">
      <c r="B4" s="9">
        <v>42339</v>
      </c>
      <c r="C4" s="3" t="s">
        <v>4</v>
      </c>
      <c r="D4" s="3" t="s">
        <v>11</v>
      </c>
      <c r="E4" s="3" t="s">
        <v>15</v>
      </c>
      <c r="F4" s="5" t="s">
        <v>13</v>
      </c>
      <c r="G4" s="25">
        <v>137</v>
      </c>
      <c r="H4" s="3">
        <f t="shared" ref="H4:H35" si="0">IF(E4=$H$3,1,0)</f>
        <v>1</v>
      </c>
      <c r="I4" s="3">
        <f t="shared" ref="I4:I35" si="1">IF(E4=$I$3,1,0)</f>
        <v>0</v>
      </c>
      <c r="J4" s="3">
        <f t="shared" ref="J4:J35" si="2">IF(D4=J$3,1,0)</f>
        <v>1</v>
      </c>
      <c r="K4" s="3">
        <f t="shared" ref="K4:K35" si="3">IF(D4=K$3,1,0)</f>
        <v>0</v>
      </c>
      <c r="L4" s="35">
        <f t="shared" ref="L4:L35" si="4">IF(F4="Yes",1,0)</f>
        <v>0</v>
      </c>
      <c r="M4" s="3">
        <v>1</v>
      </c>
      <c r="N4" s="35">
        <f>$U$21+$U$22*H4+$U$23*I4+$U$24*J4+$U$25*K4+$U$26*L4+$U$27*M4</f>
        <v>189.76163449001879</v>
      </c>
      <c r="O4" s="35">
        <f>G4/N4</f>
        <v>0.72195836828758986</v>
      </c>
      <c r="P4" s="48">
        <f>VLOOKUP(C4,$T$33:$U$39,2,FALSE)*N4</f>
        <v>133.65323952241567</v>
      </c>
    </row>
    <row r="5" spans="2:25" x14ac:dyDescent="0.3">
      <c r="B5" s="9">
        <v>42340</v>
      </c>
      <c r="C5" s="3" t="s">
        <v>5</v>
      </c>
      <c r="D5" s="3" t="s">
        <v>11</v>
      </c>
      <c r="E5" s="3" t="s">
        <v>29</v>
      </c>
      <c r="F5" s="5" t="s">
        <v>13</v>
      </c>
      <c r="G5" s="25">
        <v>471</v>
      </c>
      <c r="H5" s="3">
        <f t="shared" si="0"/>
        <v>0</v>
      </c>
      <c r="I5" s="3">
        <f t="shared" si="1"/>
        <v>0</v>
      </c>
      <c r="J5" s="3">
        <f t="shared" si="2"/>
        <v>1</v>
      </c>
      <c r="K5" s="3">
        <f t="shared" si="3"/>
        <v>0</v>
      </c>
      <c r="L5" s="35">
        <f t="shared" si="4"/>
        <v>0</v>
      </c>
      <c r="M5" s="3">
        <v>2</v>
      </c>
      <c r="N5" s="35">
        <f t="shared" ref="N5:N68" si="5">$U$21+$U$22*H5+$U$23*I5+$U$24*J5+$U$25*K5+$U$26*L5+$U$27*M5</f>
        <v>399.72204199657023</v>
      </c>
      <c r="O5" s="35">
        <f t="shared" ref="O5:O68" si="6">G5/N5</f>
        <v>1.17831880785809</v>
      </c>
      <c r="P5" s="48">
        <f t="shared" ref="P5:P68" si="7">VLOOKUP(C5,$T$33:$U$39,2,FALSE)*N5</f>
        <v>598.26797763087814</v>
      </c>
      <c r="T5" t="s">
        <v>35</v>
      </c>
    </row>
    <row r="6" spans="2:25" ht="15" thickBot="1" x14ac:dyDescent="0.35">
      <c r="B6" s="9">
        <v>42341</v>
      </c>
      <c r="C6" s="3" t="s">
        <v>6</v>
      </c>
      <c r="D6" s="3" t="s">
        <v>14</v>
      </c>
      <c r="E6" s="3" t="s">
        <v>15</v>
      </c>
      <c r="F6" s="5" t="s">
        <v>13</v>
      </c>
      <c r="G6" s="25">
        <v>106</v>
      </c>
      <c r="H6" s="3">
        <f t="shared" si="0"/>
        <v>1</v>
      </c>
      <c r="I6" s="3">
        <f t="shared" si="1"/>
        <v>0</v>
      </c>
      <c r="J6" s="3">
        <f t="shared" si="2"/>
        <v>0</v>
      </c>
      <c r="K6" s="3">
        <f t="shared" si="3"/>
        <v>1</v>
      </c>
      <c r="L6" s="35">
        <f t="shared" si="4"/>
        <v>0</v>
      </c>
      <c r="M6" s="3">
        <v>3</v>
      </c>
      <c r="N6" s="35">
        <f t="shared" si="5"/>
        <v>32.722713429239214</v>
      </c>
      <c r="O6" s="35">
        <f t="shared" si="6"/>
        <v>3.2393401674716937</v>
      </c>
      <c r="P6" s="48">
        <f t="shared" si="7"/>
        <v>33.340584482207099</v>
      </c>
    </row>
    <row r="7" spans="2:25" x14ac:dyDescent="0.3">
      <c r="B7" s="9">
        <v>42342</v>
      </c>
      <c r="C7" s="3" t="s">
        <v>7</v>
      </c>
      <c r="D7" s="3" t="s">
        <v>11</v>
      </c>
      <c r="E7" s="3" t="s">
        <v>15</v>
      </c>
      <c r="F7" s="5" t="s">
        <v>13</v>
      </c>
      <c r="G7" s="25">
        <v>159</v>
      </c>
      <c r="H7" s="3">
        <f t="shared" si="0"/>
        <v>1</v>
      </c>
      <c r="I7" s="3">
        <f t="shared" si="1"/>
        <v>0</v>
      </c>
      <c r="J7" s="3">
        <f t="shared" si="2"/>
        <v>1</v>
      </c>
      <c r="K7" s="3">
        <f t="shared" si="3"/>
        <v>0</v>
      </c>
      <c r="L7" s="35">
        <f t="shared" si="4"/>
        <v>0</v>
      </c>
      <c r="M7" s="3">
        <v>4</v>
      </c>
      <c r="N7" s="35">
        <f t="shared" si="5"/>
        <v>196.26028495942504</v>
      </c>
      <c r="O7" s="35">
        <f t="shared" si="6"/>
        <v>0.81014862498987883</v>
      </c>
      <c r="P7" s="48">
        <f t="shared" si="7"/>
        <v>160.0007566422434</v>
      </c>
      <c r="T7" s="32" t="s">
        <v>36</v>
      </c>
      <c r="U7" s="32"/>
    </row>
    <row r="8" spans="2:25" x14ac:dyDescent="0.3">
      <c r="B8" s="9">
        <v>42343</v>
      </c>
      <c r="C8" s="3" t="s">
        <v>8</v>
      </c>
      <c r="D8" s="3" t="s">
        <v>11</v>
      </c>
      <c r="E8" s="3" t="s">
        <v>15</v>
      </c>
      <c r="F8" s="5" t="s">
        <v>13</v>
      </c>
      <c r="G8" s="25">
        <v>181</v>
      </c>
      <c r="H8" s="3">
        <f t="shared" si="0"/>
        <v>1</v>
      </c>
      <c r="I8" s="3">
        <f t="shared" si="1"/>
        <v>0</v>
      </c>
      <c r="J8" s="3">
        <f t="shared" si="2"/>
        <v>1</v>
      </c>
      <c r="K8" s="3">
        <f t="shared" si="3"/>
        <v>0</v>
      </c>
      <c r="L8" s="35">
        <f t="shared" si="4"/>
        <v>0</v>
      </c>
      <c r="M8" s="3">
        <v>5</v>
      </c>
      <c r="N8" s="35">
        <f t="shared" si="5"/>
        <v>198.42650178256045</v>
      </c>
      <c r="O8" s="35">
        <f t="shared" si="6"/>
        <v>0.91217654080473209</v>
      </c>
      <c r="P8" s="48">
        <f t="shared" si="7"/>
        <v>202.75959445857239</v>
      </c>
      <c r="T8" s="29" t="s">
        <v>37</v>
      </c>
      <c r="U8" s="29">
        <v>0.76253805623397319</v>
      </c>
    </row>
    <row r="9" spans="2:25" x14ac:dyDescent="0.3">
      <c r="B9" s="9">
        <v>42344</v>
      </c>
      <c r="C9" s="3" t="s">
        <v>9</v>
      </c>
      <c r="D9" s="3" t="s">
        <v>14</v>
      </c>
      <c r="E9" s="3" t="s">
        <v>16</v>
      </c>
      <c r="F9" s="5" t="s">
        <v>13</v>
      </c>
      <c r="G9" s="25">
        <v>160</v>
      </c>
      <c r="H9" s="3">
        <f t="shared" si="0"/>
        <v>0</v>
      </c>
      <c r="I9" s="3">
        <f t="shared" si="1"/>
        <v>1</v>
      </c>
      <c r="J9" s="3">
        <f t="shared" si="2"/>
        <v>0</v>
      </c>
      <c r="K9" s="3">
        <f t="shared" si="3"/>
        <v>1</v>
      </c>
      <c r="L9" s="35">
        <f t="shared" si="4"/>
        <v>0</v>
      </c>
      <c r="M9" s="3">
        <v>6</v>
      </c>
      <c r="N9" s="35">
        <f t="shared" si="5"/>
        <v>171.57165608012599</v>
      </c>
      <c r="O9" s="35">
        <f t="shared" si="6"/>
        <v>0.93255496656905912</v>
      </c>
      <c r="P9" s="48">
        <f t="shared" si="7"/>
        <v>161.83522058204281</v>
      </c>
      <c r="T9" s="29" t="s">
        <v>38</v>
      </c>
      <c r="U9" s="29">
        <v>0.58146428720508603</v>
      </c>
    </row>
    <row r="10" spans="2:25" x14ac:dyDescent="0.3">
      <c r="B10" s="9">
        <v>42345</v>
      </c>
      <c r="C10" s="3" t="s">
        <v>10</v>
      </c>
      <c r="D10" s="3" t="s">
        <v>11</v>
      </c>
      <c r="E10" s="3" t="s">
        <v>29</v>
      </c>
      <c r="F10" s="5" t="s">
        <v>13</v>
      </c>
      <c r="G10" s="25">
        <v>265</v>
      </c>
      <c r="H10" s="3">
        <f t="shared" si="0"/>
        <v>0</v>
      </c>
      <c r="I10" s="3">
        <f t="shared" si="1"/>
        <v>0</v>
      </c>
      <c r="J10" s="3">
        <f t="shared" si="2"/>
        <v>1</v>
      </c>
      <c r="K10" s="3">
        <f t="shared" si="3"/>
        <v>0</v>
      </c>
      <c r="L10" s="35">
        <f t="shared" si="4"/>
        <v>0</v>
      </c>
      <c r="M10" s="3">
        <v>7</v>
      </c>
      <c r="N10" s="35">
        <f t="shared" si="5"/>
        <v>410.5531261122473</v>
      </c>
      <c r="O10" s="35">
        <f t="shared" si="6"/>
        <v>0.64547066663315977</v>
      </c>
      <c r="P10" s="48">
        <f t="shared" si="7"/>
        <v>451.01636502553038</v>
      </c>
      <c r="T10" s="29" t="s">
        <v>39</v>
      </c>
      <c r="U10" s="29">
        <v>0.56018281028331074</v>
      </c>
    </row>
    <row r="11" spans="2:25" x14ac:dyDescent="0.3">
      <c r="B11" s="9">
        <v>42346</v>
      </c>
      <c r="C11" s="3" t="s">
        <v>4</v>
      </c>
      <c r="D11" s="3" t="s">
        <v>11</v>
      </c>
      <c r="E11" s="3" t="s">
        <v>15</v>
      </c>
      <c r="F11" s="5" t="s">
        <v>13</v>
      </c>
      <c r="G11" s="25">
        <v>151</v>
      </c>
      <c r="H11" s="3">
        <f t="shared" si="0"/>
        <v>1</v>
      </c>
      <c r="I11" s="3">
        <f t="shared" si="1"/>
        <v>0</v>
      </c>
      <c r="J11" s="3">
        <f t="shared" si="2"/>
        <v>1</v>
      </c>
      <c r="K11" s="3">
        <f t="shared" si="3"/>
        <v>0</v>
      </c>
      <c r="L11" s="35">
        <f t="shared" si="4"/>
        <v>0</v>
      </c>
      <c r="M11" s="3">
        <v>8</v>
      </c>
      <c r="N11" s="35">
        <f t="shared" si="5"/>
        <v>204.92515225196672</v>
      </c>
      <c r="O11" s="35">
        <f t="shared" si="6"/>
        <v>0.7368543994752641</v>
      </c>
      <c r="P11" s="48">
        <f t="shared" si="7"/>
        <v>144.33323433214963</v>
      </c>
      <c r="T11" s="29" t="s">
        <v>40</v>
      </c>
      <c r="U11" s="29">
        <v>157.76121818703322</v>
      </c>
    </row>
    <row r="12" spans="2:25" ht="15" thickBot="1" x14ac:dyDescent="0.35">
      <c r="B12" s="9">
        <v>42347</v>
      </c>
      <c r="C12" s="3" t="s">
        <v>5</v>
      </c>
      <c r="D12" s="3" t="s">
        <v>11</v>
      </c>
      <c r="E12" s="3" t="s">
        <v>16</v>
      </c>
      <c r="F12" s="5" t="s">
        <v>13</v>
      </c>
      <c r="G12" s="25">
        <v>416</v>
      </c>
      <c r="H12" s="3">
        <f t="shared" si="0"/>
        <v>0</v>
      </c>
      <c r="I12" s="3">
        <f t="shared" si="1"/>
        <v>1</v>
      </c>
      <c r="J12" s="3">
        <f t="shared" si="2"/>
        <v>1</v>
      </c>
      <c r="K12" s="3">
        <f t="shared" si="3"/>
        <v>0</v>
      </c>
      <c r="L12" s="35">
        <f t="shared" si="4"/>
        <v>0</v>
      </c>
      <c r="M12" s="3">
        <v>9</v>
      </c>
      <c r="N12" s="35">
        <f t="shared" si="5"/>
        <v>339.44166125658262</v>
      </c>
      <c r="O12" s="35">
        <f t="shared" si="6"/>
        <v>1.2255419634113423</v>
      </c>
      <c r="P12" s="48">
        <f t="shared" si="7"/>
        <v>508.04572895027837</v>
      </c>
      <c r="T12" s="30" t="s">
        <v>41</v>
      </c>
      <c r="U12" s="30">
        <v>125</v>
      </c>
    </row>
    <row r="13" spans="2:25" x14ac:dyDescent="0.3">
      <c r="B13" s="9">
        <v>42348</v>
      </c>
      <c r="C13" s="3" t="s">
        <v>6</v>
      </c>
      <c r="D13" s="3" t="s">
        <v>26</v>
      </c>
      <c r="E13" s="3" t="s">
        <v>16</v>
      </c>
      <c r="F13" s="5" t="s">
        <v>13</v>
      </c>
      <c r="G13" s="25">
        <v>101</v>
      </c>
      <c r="H13" s="3">
        <f t="shared" si="0"/>
        <v>0</v>
      </c>
      <c r="I13" s="3">
        <f t="shared" si="1"/>
        <v>1</v>
      </c>
      <c r="J13" s="3">
        <f t="shared" si="2"/>
        <v>0</v>
      </c>
      <c r="K13" s="3">
        <f t="shared" si="3"/>
        <v>0</v>
      </c>
      <c r="L13" s="35">
        <f t="shared" si="4"/>
        <v>0</v>
      </c>
      <c r="M13" s="3">
        <v>10</v>
      </c>
      <c r="N13" s="35">
        <f t="shared" si="5"/>
        <v>42.12155216392965</v>
      </c>
      <c r="O13" s="35">
        <f t="shared" si="6"/>
        <v>2.3978223691027769</v>
      </c>
      <c r="P13" s="48">
        <f t="shared" si="7"/>
        <v>42.91689231334751</v>
      </c>
    </row>
    <row r="14" spans="2:25" ht="15" thickBot="1" x14ac:dyDescent="0.35">
      <c r="B14" s="9">
        <v>42349</v>
      </c>
      <c r="C14" s="3" t="s">
        <v>7</v>
      </c>
      <c r="D14" s="3" t="s">
        <v>14</v>
      </c>
      <c r="E14" s="3" t="s">
        <v>16</v>
      </c>
      <c r="F14" s="5" t="s">
        <v>13</v>
      </c>
      <c r="G14" s="25">
        <v>144</v>
      </c>
      <c r="H14" s="3">
        <f t="shared" si="0"/>
        <v>0</v>
      </c>
      <c r="I14" s="3">
        <f t="shared" si="1"/>
        <v>1</v>
      </c>
      <c r="J14" s="3">
        <f t="shared" si="2"/>
        <v>0</v>
      </c>
      <c r="K14" s="3">
        <f t="shared" si="3"/>
        <v>1</v>
      </c>
      <c r="L14" s="35">
        <f t="shared" si="4"/>
        <v>0</v>
      </c>
      <c r="M14" s="3">
        <v>11</v>
      </c>
      <c r="N14" s="35">
        <f t="shared" si="5"/>
        <v>182.40274019580309</v>
      </c>
      <c r="O14" s="35">
        <f t="shared" si="6"/>
        <v>0.7894618241229322</v>
      </c>
      <c r="P14" s="48">
        <f t="shared" si="7"/>
        <v>148.70342438859026</v>
      </c>
      <c r="T14" t="s">
        <v>42</v>
      </c>
    </row>
    <row r="15" spans="2:25" x14ac:dyDescent="0.3">
      <c r="B15" s="9">
        <v>42350</v>
      </c>
      <c r="C15" s="3" t="s">
        <v>8</v>
      </c>
      <c r="D15" s="3" t="s">
        <v>14</v>
      </c>
      <c r="E15" s="3" t="s">
        <v>16</v>
      </c>
      <c r="F15" s="5" t="s">
        <v>13</v>
      </c>
      <c r="G15" s="25">
        <v>165</v>
      </c>
      <c r="H15" s="3">
        <f t="shared" si="0"/>
        <v>0</v>
      </c>
      <c r="I15" s="3">
        <f t="shared" si="1"/>
        <v>1</v>
      </c>
      <c r="J15" s="3">
        <f t="shared" si="2"/>
        <v>0</v>
      </c>
      <c r="K15" s="3">
        <f t="shared" si="3"/>
        <v>1</v>
      </c>
      <c r="L15" s="35">
        <f t="shared" si="4"/>
        <v>0</v>
      </c>
      <c r="M15" s="3">
        <v>12</v>
      </c>
      <c r="N15" s="35">
        <f t="shared" si="5"/>
        <v>184.56895701893851</v>
      </c>
      <c r="O15" s="35">
        <f t="shared" si="6"/>
        <v>0.89397481930327782</v>
      </c>
      <c r="P15" s="48">
        <f t="shared" si="7"/>
        <v>188.59943877764184</v>
      </c>
      <c r="T15" s="31"/>
      <c r="U15" s="31" t="s">
        <v>47</v>
      </c>
      <c r="V15" s="31" t="s">
        <v>48</v>
      </c>
      <c r="W15" s="31" t="s">
        <v>49</v>
      </c>
      <c r="X15" s="31" t="s">
        <v>50</v>
      </c>
      <c r="Y15" s="31" t="s">
        <v>51</v>
      </c>
    </row>
    <row r="16" spans="2:25" x14ac:dyDescent="0.3">
      <c r="B16" s="9">
        <v>42351</v>
      </c>
      <c r="C16" s="3" t="s">
        <v>9</v>
      </c>
      <c r="D16" s="3" t="s">
        <v>26</v>
      </c>
      <c r="E16" s="3" t="s">
        <v>15</v>
      </c>
      <c r="F16" s="5" t="s">
        <v>13</v>
      </c>
      <c r="G16" s="25">
        <v>98</v>
      </c>
      <c r="H16" s="3">
        <f t="shared" si="0"/>
        <v>1</v>
      </c>
      <c r="I16" s="3">
        <f t="shared" si="1"/>
        <v>0</v>
      </c>
      <c r="J16" s="3">
        <f t="shared" si="2"/>
        <v>0</v>
      </c>
      <c r="K16" s="3">
        <f t="shared" si="3"/>
        <v>0</v>
      </c>
      <c r="L16" s="35">
        <f t="shared" si="4"/>
        <v>0</v>
      </c>
      <c r="M16" s="3">
        <v>13</v>
      </c>
      <c r="N16" s="35">
        <f t="shared" si="5"/>
        <v>-83.730089548144633</v>
      </c>
      <c r="O16" s="35">
        <f t="shared" si="6"/>
        <v>-1.170427507349675</v>
      </c>
      <c r="P16" s="48">
        <f t="shared" si="7"/>
        <v>-78.978531891362934</v>
      </c>
      <c r="T16" s="29" t="s">
        <v>43</v>
      </c>
      <c r="U16" s="29">
        <v>6</v>
      </c>
      <c r="V16" s="29">
        <v>4080120.92026491</v>
      </c>
      <c r="W16" s="29">
        <v>680020.153377485</v>
      </c>
      <c r="X16" s="29">
        <v>27.322553286239714</v>
      </c>
      <c r="Y16" s="29">
        <v>3.048829061277282E-20</v>
      </c>
    </row>
    <row r="17" spans="2:28" x14ac:dyDescent="0.3">
      <c r="B17" s="9">
        <v>42352</v>
      </c>
      <c r="C17" s="3" t="s">
        <v>10</v>
      </c>
      <c r="D17" s="3" t="s">
        <v>14</v>
      </c>
      <c r="E17" s="3" t="s">
        <v>29</v>
      </c>
      <c r="F17" s="5" t="s">
        <v>13</v>
      </c>
      <c r="G17" s="25">
        <v>180</v>
      </c>
      <c r="H17" s="3">
        <f t="shared" si="0"/>
        <v>0</v>
      </c>
      <c r="I17" s="3">
        <f t="shared" si="1"/>
        <v>0</v>
      </c>
      <c r="J17" s="3">
        <f t="shared" si="2"/>
        <v>0</v>
      </c>
      <c r="K17" s="3">
        <f t="shared" si="3"/>
        <v>1</v>
      </c>
      <c r="L17" s="35">
        <f t="shared" si="4"/>
        <v>0</v>
      </c>
      <c r="M17" s="3">
        <v>14</v>
      </c>
      <c r="N17" s="35">
        <f t="shared" si="5"/>
        <v>264.34528916714481</v>
      </c>
      <c r="O17" s="35">
        <f t="shared" si="6"/>
        <v>0.68092758742595361</v>
      </c>
      <c r="P17" s="48">
        <f t="shared" si="7"/>
        <v>290.39859606182102</v>
      </c>
      <c r="T17" s="29" t="s">
        <v>44</v>
      </c>
      <c r="U17" s="29">
        <v>118</v>
      </c>
      <c r="V17" s="29">
        <v>2936855.0317350905</v>
      </c>
      <c r="W17" s="29">
        <v>24888.601963856698</v>
      </c>
      <c r="X17" s="29"/>
      <c r="Y17" s="29"/>
    </row>
    <row r="18" spans="2:28" ht="15" thickBot="1" x14ac:dyDescent="0.35">
      <c r="B18" s="9">
        <v>42353</v>
      </c>
      <c r="C18" s="3" t="s">
        <v>4</v>
      </c>
      <c r="D18" s="3" t="s">
        <v>26</v>
      </c>
      <c r="E18" s="3" t="s">
        <v>15</v>
      </c>
      <c r="F18" s="5" t="s">
        <v>13</v>
      </c>
      <c r="G18" s="25">
        <v>86</v>
      </c>
      <c r="H18" s="3">
        <f t="shared" si="0"/>
        <v>1</v>
      </c>
      <c r="I18" s="3">
        <f t="shared" si="1"/>
        <v>0</v>
      </c>
      <c r="J18" s="3">
        <f t="shared" si="2"/>
        <v>0</v>
      </c>
      <c r="K18" s="3">
        <f t="shared" si="3"/>
        <v>0</v>
      </c>
      <c r="L18" s="35">
        <f t="shared" si="4"/>
        <v>0</v>
      </c>
      <c r="M18" s="3">
        <v>15</v>
      </c>
      <c r="N18" s="35">
        <f t="shared" si="5"/>
        <v>-79.397655901873804</v>
      </c>
      <c r="O18" s="35">
        <f t="shared" si="6"/>
        <v>-1.083155403306691</v>
      </c>
      <c r="P18" s="48">
        <f t="shared" si="7"/>
        <v>-55.921493036726794</v>
      </c>
      <c r="T18" s="30" t="s">
        <v>45</v>
      </c>
      <c r="U18" s="30">
        <v>124</v>
      </c>
      <c r="V18" s="30">
        <v>7016975.9520000005</v>
      </c>
      <c r="W18" s="30"/>
      <c r="X18" s="30"/>
      <c r="Y18" s="30"/>
    </row>
    <row r="19" spans="2:28" ht="15" thickBot="1" x14ac:dyDescent="0.35">
      <c r="B19" s="9">
        <v>42354</v>
      </c>
      <c r="C19" s="3" t="s">
        <v>5</v>
      </c>
      <c r="D19" s="3" t="s">
        <v>11</v>
      </c>
      <c r="E19" s="3" t="s">
        <v>15</v>
      </c>
      <c r="F19" s="5" t="s">
        <v>13</v>
      </c>
      <c r="G19" s="25">
        <v>333</v>
      </c>
      <c r="H19" s="3">
        <f t="shared" si="0"/>
        <v>1</v>
      </c>
      <c r="I19" s="3">
        <f t="shared" si="1"/>
        <v>0</v>
      </c>
      <c r="J19" s="3">
        <f t="shared" si="2"/>
        <v>1</v>
      </c>
      <c r="K19" s="3">
        <f t="shared" si="3"/>
        <v>0</v>
      </c>
      <c r="L19" s="35">
        <f t="shared" si="4"/>
        <v>0</v>
      </c>
      <c r="M19" s="3">
        <v>16</v>
      </c>
      <c r="N19" s="35">
        <f t="shared" si="5"/>
        <v>222.25488683705004</v>
      </c>
      <c r="O19" s="35">
        <f t="shared" si="6"/>
        <v>1.4982797667083227</v>
      </c>
      <c r="P19" s="48">
        <f t="shared" si="7"/>
        <v>332.65111176361529</v>
      </c>
    </row>
    <row r="20" spans="2:28" x14ac:dyDescent="0.3">
      <c r="B20" s="9">
        <v>42355</v>
      </c>
      <c r="C20" s="3" t="s">
        <v>6</v>
      </c>
      <c r="D20" s="3" t="s">
        <v>14</v>
      </c>
      <c r="E20" s="3" t="s">
        <v>29</v>
      </c>
      <c r="F20" s="5" t="s">
        <v>13</v>
      </c>
      <c r="G20" s="25">
        <v>188</v>
      </c>
      <c r="H20" s="3">
        <f t="shared" si="0"/>
        <v>0</v>
      </c>
      <c r="I20" s="3">
        <f t="shared" si="1"/>
        <v>0</v>
      </c>
      <c r="J20" s="3">
        <f t="shared" si="2"/>
        <v>0</v>
      </c>
      <c r="K20" s="3">
        <f t="shared" si="3"/>
        <v>1</v>
      </c>
      <c r="L20" s="35">
        <f t="shared" si="4"/>
        <v>0</v>
      </c>
      <c r="M20" s="3">
        <v>17</v>
      </c>
      <c r="N20" s="35">
        <f t="shared" si="5"/>
        <v>270.84393963655106</v>
      </c>
      <c r="O20" s="35">
        <f t="shared" si="6"/>
        <v>0.69412666294944458</v>
      </c>
      <c r="P20" s="48">
        <f t="shared" si="7"/>
        <v>275.95802134420296</v>
      </c>
      <c r="T20" s="31"/>
      <c r="U20" s="31" t="s">
        <v>52</v>
      </c>
      <c r="V20" s="31" t="s">
        <v>40</v>
      </c>
      <c r="W20" s="31" t="s">
        <v>53</v>
      </c>
      <c r="X20" s="31" t="s">
        <v>54</v>
      </c>
      <c r="Y20" s="31" t="s">
        <v>55</v>
      </c>
      <c r="Z20" s="31" t="s">
        <v>56</v>
      </c>
      <c r="AA20" s="31" t="s">
        <v>86</v>
      </c>
      <c r="AB20" s="31" t="s">
        <v>87</v>
      </c>
    </row>
    <row r="21" spans="2:28" x14ac:dyDescent="0.3">
      <c r="B21" s="9">
        <v>42356</v>
      </c>
      <c r="C21" s="3" t="s">
        <v>7</v>
      </c>
      <c r="D21" s="3" t="s">
        <v>11</v>
      </c>
      <c r="E21" s="3" t="s">
        <v>15</v>
      </c>
      <c r="F21" s="5" t="s">
        <v>13</v>
      </c>
      <c r="G21" s="25">
        <v>192</v>
      </c>
      <c r="H21" s="3">
        <f t="shared" si="0"/>
        <v>1</v>
      </c>
      <c r="I21" s="3">
        <f t="shared" si="1"/>
        <v>0</v>
      </c>
      <c r="J21" s="3">
        <f t="shared" si="2"/>
        <v>1</v>
      </c>
      <c r="K21" s="3">
        <f t="shared" si="3"/>
        <v>0</v>
      </c>
      <c r="L21" s="35">
        <f t="shared" si="4"/>
        <v>0</v>
      </c>
      <c r="M21" s="3">
        <v>18</v>
      </c>
      <c r="N21" s="35">
        <f t="shared" si="5"/>
        <v>226.58732048332087</v>
      </c>
      <c r="O21" s="35">
        <f t="shared" si="6"/>
        <v>0.84735544597312606</v>
      </c>
      <c r="P21" s="48">
        <f t="shared" si="7"/>
        <v>184.72480425861525</v>
      </c>
      <c r="T21" s="29" t="s">
        <v>46</v>
      </c>
      <c r="U21" s="29">
        <v>95.90328243451097</v>
      </c>
      <c r="V21" s="29">
        <v>56.694803968641473</v>
      </c>
      <c r="W21" s="29">
        <v>1.6915709328064021</v>
      </c>
      <c r="X21" s="29">
        <v>9.336717187301484E-2</v>
      </c>
      <c r="Y21" s="29">
        <v>-16.367864542560881</v>
      </c>
      <c r="Z21" s="29">
        <v>208.17442941158282</v>
      </c>
      <c r="AA21" s="29">
        <v>-16.367864542560881</v>
      </c>
      <c r="AB21" s="29">
        <v>208.17442941158282</v>
      </c>
    </row>
    <row r="22" spans="2:28" x14ac:dyDescent="0.3">
      <c r="B22" s="9">
        <v>42357</v>
      </c>
      <c r="C22" s="3" t="s">
        <v>8</v>
      </c>
      <c r="D22" s="3" t="s">
        <v>11</v>
      </c>
      <c r="E22" s="3" t="s">
        <v>12</v>
      </c>
      <c r="F22" s="5" t="s">
        <v>13</v>
      </c>
      <c r="G22" s="25">
        <v>370</v>
      </c>
      <c r="H22" s="3">
        <f t="shared" si="0"/>
        <v>0</v>
      </c>
      <c r="I22" s="3">
        <f t="shared" si="1"/>
        <v>0</v>
      </c>
      <c r="J22" s="3">
        <f t="shared" si="2"/>
        <v>1</v>
      </c>
      <c r="K22" s="3">
        <f t="shared" si="3"/>
        <v>0</v>
      </c>
      <c r="L22" s="35">
        <f t="shared" si="4"/>
        <v>0</v>
      </c>
      <c r="M22" s="3">
        <v>19</v>
      </c>
      <c r="N22" s="35">
        <f t="shared" si="5"/>
        <v>436.54772798987233</v>
      </c>
      <c r="O22" s="35">
        <f t="shared" si="6"/>
        <v>0.84755910127788781</v>
      </c>
      <c r="P22" s="48">
        <f t="shared" si="7"/>
        <v>446.08073767300135</v>
      </c>
      <c r="T22" s="29" t="s">
        <v>15</v>
      </c>
      <c r="U22" s="29">
        <v>-207.79419068341602</v>
      </c>
      <c r="V22" s="29">
        <v>31.824390263175783</v>
      </c>
      <c r="W22" s="29">
        <v>-6.5294005310089505</v>
      </c>
      <c r="X22" s="29">
        <v>1.7393780376830164E-9</v>
      </c>
      <c r="Y22" s="29">
        <v>-270.81514757161597</v>
      </c>
      <c r="Z22" s="29">
        <v>-144.77323379521607</v>
      </c>
      <c r="AA22" s="29">
        <v>-270.81514757161597</v>
      </c>
      <c r="AB22" s="29">
        <v>-144.77323379521607</v>
      </c>
    </row>
    <row r="23" spans="2:28" x14ac:dyDescent="0.3">
      <c r="B23" s="9">
        <v>42358</v>
      </c>
      <c r="C23" s="3" t="s">
        <v>9</v>
      </c>
      <c r="D23" s="3" t="s">
        <v>11</v>
      </c>
      <c r="E23" s="3" t="s">
        <v>12</v>
      </c>
      <c r="F23" s="5" t="s">
        <v>13</v>
      </c>
      <c r="G23" s="25">
        <v>401</v>
      </c>
      <c r="H23" s="3">
        <f t="shared" si="0"/>
        <v>0</v>
      </c>
      <c r="I23" s="3">
        <f t="shared" si="1"/>
        <v>0</v>
      </c>
      <c r="J23" s="3">
        <f t="shared" si="2"/>
        <v>1</v>
      </c>
      <c r="K23" s="3">
        <f t="shared" si="3"/>
        <v>0</v>
      </c>
      <c r="L23" s="35">
        <f t="shared" si="4"/>
        <v>0</v>
      </c>
      <c r="M23" s="3">
        <v>20</v>
      </c>
      <c r="N23" s="35">
        <f t="shared" si="5"/>
        <v>438.71394481300774</v>
      </c>
      <c r="O23" s="35">
        <f t="shared" si="6"/>
        <v>0.91403522669177406</v>
      </c>
      <c r="P23" s="48">
        <f t="shared" si="7"/>
        <v>413.81758300493249</v>
      </c>
      <c r="T23" s="29" t="s">
        <v>16</v>
      </c>
      <c r="U23" s="29">
        <v>-75.443898501935479</v>
      </c>
      <c r="V23" s="29">
        <v>42.907322609812326</v>
      </c>
      <c r="W23" s="29">
        <v>-1.7582989082773131</v>
      </c>
      <c r="X23" s="29">
        <v>8.128935823039965E-2</v>
      </c>
      <c r="Y23" s="29">
        <v>-160.41207875674957</v>
      </c>
      <c r="Z23" s="29">
        <v>9.5242817528786077</v>
      </c>
      <c r="AA23" s="29">
        <v>-160.41207875674957</v>
      </c>
      <c r="AB23" s="29">
        <v>9.5242817528786077</v>
      </c>
    </row>
    <row r="24" spans="2:28" x14ac:dyDescent="0.3">
      <c r="B24" s="9">
        <v>42359</v>
      </c>
      <c r="C24" s="3" t="s">
        <v>10</v>
      </c>
      <c r="D24" s="3" t="s">
        <v>14</v>
      </c>
      <c r="E24" s="3" t="s">
        <v>15</v>
      </c>
      <c r="F24" s="5" t="s">
        <v>13</v>
      </c>
      <c r="G24" s="25">
        <v>129</v>
      </c>
      <c r="H24" s="3">
        <f t="shared" si="0"/>
        <v>1</v>
      </c>
      <c r="I24" s="3">
        <f t="shared" si="1"/>
        <v>0</v>
      </c>
      <c r="J24" s="3">
        <f t="shared" si="2"/>
        <v>0</v>
      </c>
      <c r="K24" s="3">
        <f t="shared" si="3"/>
        <v>1</v>
      </c>
      <c r="L24" s="35">
        <f t="shared" si="4"/>
        <v>0</v>
      </c>
      <c r="M24" s="3">
        <v>21</v>
      </c>
      <c r="N24" s="35">
        <f t="shared" si="5"/>
        <v>71.714616245676694</v>
      </c>
      <c r="O24" s="35">
        <f t="shared" si="6"/>
        <v>1.7987964902172471</v>
      </c>
      <c r="P24" s="48">
        <f t="shared" si="7"/>
        <v>78.782655595911379</v>
      </c>
      <c r="T24" s="29" t="s">
        <v>11</v>
      </c>
      <c r="U24" s="29">
        <v>299.48632591578843</v>
      </c>
      <c r="V24" s="29">
        <v>47.900355756900929</v>
      </c>
      <c r="W24" s="29">
        <v>6.2522776957171535</v>
      </c>
      <c r="X24" s="29">
        <v>6.6820736180760878E-9</v>
      </c>
      <c r="Y24" s="29">
        <v>204.63058068009468</v>
      </c>
      <c r="Z24" s="29">
        <v>394.34207115148217</v>
      </c>
      <c r="AA24" s="29">
        <v>204.63058068009468</v>
      </c>
      <c r="AB24" s="29">
        <v>394.34207115148217</v>
      </c>
    </row>
    <row r="25" spans="2:28" x14ac:dyDescent="0.3">
      <c r="B25" s="9">
        <v>42360</v>
      </c>
      <c r="C25" s="3" t="s">
        <v>4</v>
      </c>
      <c r="D25" s="3" t="s">
        <v>14</v>
      </c>
      <c r="E25" s="3" t="s">
        <v>16</v>
      </c>
      <c r="F25" s="5" t="s">
        <v>13</v>
      </c>
      <c r="G25" s="25">
        <v>148</v>
      </c>
      <c r="H25" s="3">
        <f t="shared" si="0"/>
        <v>0</v>
      </c>
      <c r="I25" s="3">
        <f t="shared" si="1"/>
        <v>1</v>
      </c>
      <c r="J25" s="3">
        <f t="shared" si="2"/>
        <v>0</v>
      </c>
      <c r="K25" s="3">
        <f t="shared" si="3"/>
        <v>1</v>
      </c>
      <c r="L25" s="35">
        <f t="shared" si="4"/>
        <v>0</v>
      </c>
      <c r="M25" s="3">
        <v>22</v>
      </c>
      <c r="N25" s="35">
        <f t="shared" si="5"/>
        <v>206.23112525029268</v>
      </c>
      <c r="O25" s="35">
        <f t="shared" si="6"/>
        <v>0.71764143176923267</v>
      </c>
      <c r="P25" s="48">
        <f t="shared" si="7"/>
        <v>145.25305947185271</v>
      </c>
      <c r="T25" s="29" t="s">
        <v>14</v>
      </c>
      <c r="U25" s="29">
        <v>138.11497120873801</v>
      </c>
      <c r="V25" s="29">
        <v>51.305192541789502</v>
      </c>
      <c r="W25" s="29">
        <v>2.6920271490305692</v>
      </c>
      <c r="X25" s="29">
        <v>8.1346299300671405E-3</v>
      </c>
      <c r="Y25" s="29">
        <v>36.516722174625627</v>
      </c>
      <c r="Z25" s="29">
        <v>239.71322024285041</v>
      </c>
      <c r="AA25" s="29">
        <v>36.516722174625627</v>
      </c>
      <c r="AB25" s="29">
        <v>239.71322024285041</v>
      </c>
    </row>
    <row r="26" spans="2:28" x14ac:dyDescent="0.3">
      <c r="B26" s="9">
        <v>42361</v>
      </c>
      <c r="C26" s="3" t="s">
        <v>5</v>
      </c>
      <c r="D26" s="3" t="s">
        <v>14</v>
      </c>
      <c r="E26" s="3" t="s">
        <v>29</v>
      </c>
      <c r="F26" s="5" t="s">
        <v>13</v>
      </c>
      <c r="G26" s="25">
        <v>364</v>
      </c>
      <c r="H26" s="3">
        <f t="shared" si="0"/>
        <v>0</v>
      </c>
      <c r="I26" s="3">
        <f t="shared" si="1"/>
        <v>0</v>
      </c>
      <c r="J26" s="3">
        <f t="shared" si="2"/>
        <v>0</v>
      </c>
      <c r="K26" s="3">
        <f t="shared" si="3"/>
        <v>1</v>
      </c>
      <c r="L26" s="35">
        <f t="shared" si="4"/>
        <v>0</v>
      </c>
      <c r="M26" s="3">
        <v>23</v>
      </c>
      <c r="N26" s="35">
        <f t="shared" si="5"/>
        <v>283.84124057536354</v>
      </c>
      <c r="O26" s="35">
        <f t="shared" si="6"/>
        <v>1.2824070218342822</v>
      </c>
      <c r="P26" s="48">
        <f t="shared" si="7"/>
        <v>424.82802329104328</v>
      </c>
      <c r="T26" s="29" t="s">
        <v>33</v>
      </c>
      <c r="U26" s="29">
        <v>212.22078417292775</v>
      </c>
      <c r="V26" s="29">
        <v>50.736591977167237</v>
      </c>
      <c r="W26" s="29">
        <v>4.18279541259753</v>
      </c>
      <c r="X26" s="29">
        <v>5.5626735262412037E-5</v>
      </c>
      <c r="Y26" s="29">
        <v>111.74851905785778</v>
      </c>
      <c r="Z26" s="29">
        <v>312.69304928799772</v>
      </c>
      <c r="AA26" s="29">
        <v>111.74851905785778</v>
      </c>
      <c r="AB26" s="29">
        <v>312.69304928799772</v>
      </c>
    </row>
    <row r="27" spans="2:28" ht="15" thickBot="1" x14ac:dyDescent="0.35">
      <c r="B27" s="9">
        <v>42362</v>
      </c>
      <c r="C27" s="3" t="s">
        <v>6</v>
      </c>
      <c r="D27" s="3" t="s">
        <v>26</v>
      </c>
      <c r="E27" s="3" t="s">
        <v>29</v>
      </c>
      <c r="F27" s="5" t="s">
        <v>13</v>
      </c>
      <c r="G27" s="25">
        <v>129</v>
      </c>
      <c r="H27" s="3">
        <f t="shared" si="0"/>
        <v>0</v>
      </c>
      <c r="I27" s="3">
        <f t="shared" si="1"/>
        <v>0</v>
      </c>
      <c r="J27" s="3">
        <f t="shared" si="2"/>
        <v>0</v>
      </c>
      <c r="K27" s="3">
        <f t="shared" si="3"/>
        <v>0</v>
      </c>
      <c r="L27" s="35">
        <f t="shared" si="4"/>
        <v>0</v>
      </c>
      <c r="M27" s="3">
        <v>24</v>
      </c>
      <c r="N27" s="35">
        <f t="shared" si="5"/>
        <v>147.89248618976097</v>
      </c>
      <c r="O27" s="35">
        <f t="shared" si="6"/>
        <v>0.87225526680564414</v>
      </c>
      <c r="P27" s="48">
        <f t="shared" si="7"/>
        <v>150.68499563020535</v>
      </c>
      <c r="T27" s="30" t="s">
        <v>34</v>
      </c>
      <c r="U27" s="30">
        <v>2.1662168231354162</v>
      </c>
      <c r="V27" s="30">
        <v>0.39433250289620192</v>
      </c>
      <c r="W27" s="30">
        <v>5.4933762934211341</v>
      </c>
      <c r="X27" s="30">
        <v>2.3035828558981697E-7</v>
      </c>
      <c r="Y27" s="30">
        <v>1.3853311106637138</v>
      </c>
      <c r="Z27" s="30">
        <v>2.9471025356071188</v>
      </c>
      <c r="AA27" s="30">
        <v>1.3853311106637138</v>
      </c>
      <c r="AB27" s="30">
        <v>2.9471025356071188</v>
      </c>
    </row>
    <row r="28" spans="2:28" x14ac:dyDescent="0.3">
      <c r="B28" s="9">
        <v>42363</v>
      </c>
      <c r="C28" s="3" t="s">
        <v>7</v>
      </c>
      <c r="D28" s="3" t="s">
        <v>26</v>
      </c>
      <c r="E28" s="3" t="s">
        <v>16</v>
      </c>
      <c r="F28" s="5" t="s">
        <v>30</v>
      </c>
      <c r="G28" s="25">
        <v>139</v>
      </c>
      <c r="H28" s="3">
        <f t="shared" si="0"/>
        <v>0</v>
      </c>
      <c r="I28" s="3">
        <f t="shared" si="1"/>
        <v>1</v>
      </c>
      <c r="J28" s="3">
        <f t="shared" si="2"/>
        <v>0</v>
      </c>
      <c r="K28" s="3">
        <f t="shared" si="3"/>
        <v>0</v>
      </c>
      <c r="L28" s="35">
        <f t="shared" si="4"/>
        <v>1</v>
      </c>
      <c r="M28" s="3">
        <v>25</v>
      </c>
      <c r="N28" s="35">
        <f t="shared" si="5"/>
        <v>286.83558868388866</v>
      </c>
      <c r="O28" s="35">
        <f t="shared" si="6"/>
        <v>0.48459816523390681</v>
      </c>
      <c r="P28" s="48">
        <f t="shared" si="7"/>
        <v>233.8420696313247</v>
      </c>
    </row>
    <row r="29" spans="2:28" x14ac:dyDescent="0.3">
      <c r="B29" s="9">
        <v>42364</v>
      </c>
      <c r="C29" s="3" t="s">
        <v>8</v>
      </c>
      <c r="D29" s="3" t="s">
        <v>14</v>
      </c>
      <c r="E29" s="3" t="s">
        <v>15</v>
      </c>
      <c r="F29" s="5" t="s">
        <v>13</v>
      </c>
      <c r="G29" s="25">
        <v>145</v>
      </c>
      <c r="H29" s="3">
        <f t="shared" si="0"/>
        <v>1</v>
      </c>
      <c r="I29" s="3">
        <f t="shared" si="1"/>
        <v>0</v>
      </c>
      <c r="J29" s="3">
        <f t="shared" si="2"/>
        <v>0</v>
      </c>
      <c r="K29" s="3">
        <f t="shared" si="3"/>
        <v>1</v>
      </c>
      <c r="L29" s="35">
        <f t="shared" si="4"/>
        <v>0</v>
      </c>
      <c r="M29" s="3">
        <v>26</v>
      </c>
      <c r="N29" s="35">
        <f t="shared" si="5"/>
        <v>82.545700361353781</v>
      </c>
      <c r="O29" s="35">
        <f t="shared" si="6"/>
        <v>1.7566026984475869</v>
      </c>
      <c r="P29" s="48">
        <f t="shared" si="7"/>
        <v>84.348272933358345</v>
      </c>
    </row>
    <row r="30" spans="2:28" x14ac:dyDescent="0.3">
      <c r="B30" s="9">
        <v>42365</v>
      </c>
      <c r="C30" s="3" t="s">
        <v>9</v>
      </c>
      <c r="D30" s="3" t="s">
        <v>14</v>
      </c>
      <c r="E30" s="3" t="s">
        <v>29</v>
      </c>
      <c r="F30" s="5" t="s">
        <v>13</v>
      </c>
      <c r="G30" s="25">
        <v>250</v>
      </c>
      <c r="H30" s="3">
        <f t="shared" si="0"/>
        <v>0</v>
      </c>
      <c r="I30" s="3">
        <f t="shared" si="1"/>
        <v>0</v>
      </c>
      <c r="J30" s="3">
        <f t="shared" si="2"/>
        <v>0</v>
      </c>
      <c r="K30" s="3">
        <f t="shared" si="3"/>
        <v>1</v>
      </c>
      <c r="L30" s="35">
        <f t="shared" si="4"/>
        <v>0</v>
      </c>
      <c r="M30" s="3">
        <v>27</v>
      </c>
      <c r="N30" s="35">
        <f t="shared" si="5"/>
        <v>292.5061078679052</v>
      </c>
      <c r="O30" s="35">
        <f t="shared" si="6"/>
        <v>0.8546830075524412</v>
      </c>
      <c r="P30" s="48">
        <f t="shared" si="7"/>
        <v>275.90682266475261</v>
      </c>
    </row>
    <row r="31" spans="2:28" ht="15" thickBot="1" x14ac:dyDescent="0.35">
      <c r="B31" s="9">
        <v>42366</v>
      </c>
      <c r="C31" s="3" t="s">
        <v>10</v>
      </c>
      <c r="D31" s="3" t="s">
        <v>11</v>
      </c>
      <c r="E31" s="3" t="s">
        <v>15</v>
      </c>
      <c r="F31" s="5" t="s">
        <v>13</v>
      </c>
      <c r="G31" s="25">
        <v>207</v>
      </c>
      <c r="H31" s="3">
        <f t="shared" si="0"/>
        <v>1</v>
      </c>
      <c r="I31" s="3">
        <f t="shared" si="1"/>
        <v>0</v>
      </c>
      <c r="J31" s="3">
        <f t="shared" si="2"/>
        <v>1</v>
      </c>
      <c r="K31" s="3">
        <f t="shared" si="3"/>
        <v>0</v>
      </c>
      <c r="L31" s="35">
        <f t="shared" si="4"/>
        <v>0</v>
      </c>
      <c r="M31" s="3">
        <v>28</v>
      </c>
      <c r="N31" s="35">
        <f t="shared" si="5"/>
        <v>248.24948871467504</v>
      </c>
      <c r="O31" s="35">
        <f t="shared" si="6"/>
        <v>0.83383857534512373</v>
      </c>
      <c r="P31" s="48">
        <f t="shared" si="7"/>
        <v>272.71642790737752</v>
      </c>
      <c r="T31" s="33"/>
    </row>
    <row r="32" spans="2:28" ht="15" thickBot="1" x14ac:dyDescent="0.35">
      <c r="B32" s="9">
        <v>42367</v>
      </c>
      <c r="C32" s="3" t="s">
        <v>4</v>
      </c>
      <c r="D32" s="3" t="s">
        <v>11</v>
      </c>
      <c r="E32" s="3" t="s">
        <v>29</v>
      </c>
      <c r="F32" s="5" t="s">
        <v>13</v>
      </c>
      <c r="G32" s="25">
        <v>329</v>
      </c>
      <c r="H32" s="3">
        <f t="shared" si="0"/>
        <v>0</v>
      </c>
      <c r="I32" s="3">
        <f t="shared" si="1"/>
        <v>0</v>
      </c>
      <c r="J32" s="3">
        <f t="shared" si="2"/>
        <v>1</v>
      </c>
      <c r="K32" s="3">
        <f t="shared" si="3"/>
        <v>0</v>
      </c>
      <c r="L32" s="35">
        <f t="shared" si="4"/>
        <v>0</v>
      </c>
      <c r="M32" s="3">
        <v>29</v>
      </c>
      <c r="N32" s="35">
        <f t="shared" si="5"/>
        <v>458.20989622122647</v>
      </c>
      <c r="O32" s="35">
        <f t="shared" si="6"/>
        <v>0.71801155477697676</v>
      </c>
      <c r="P32" s="48">
        <f t="shared" si="7"/>
        <v>322.72717915705988</v>
      </c>
      <c r="T32" s="51" t="s">
        <v>65</v>
      </c>
      <c r="U32" s="52" t="s">
        <v>64</v>
      </c>
      <c r="W32" s="39" t="s">
        <v>71</v>
      </c>
      <c r="X32" s="39" t="s">
        <v>72</v>
      </c>
    </row>
    <row r="33" spans="2:24" x14ac:dyDescent="0.3">
      <c r="B33" s="9">
        <v>42368</v>
      </c>
      <c r="C33" s="3" t="s">
        <v>5</v>
      </c>
      <c r="D33" s="3" t="s">
        <v>11</v>
      </c>
      <c r="E33" s="3" t="s">
        <v>16</v>
      </c>
      <c r="F33" s="5" t="s">
        <v>13</v>
      </c>
      <c r="G33" s="25">
        <v>563</v>
      </c>
      <c r="H33" s="3">
        <f t="shared" si="0"/>
        <v>0</v>
      </c>
      <c r="I33" s="3">
        <f t="shared" si="1"/>
        <v>1</v>
      </c>
      <c r="J33" s="3">
        <f t="shared" si="2"/>
        <v>1</v>
      </c>
      <c r="K33" s="3">
        <f t="shared" si="3"/>
        <v>0</v>
      </c>
      <c r="L33" s="35">
        <f t="shared" si="4"/>
        <v>0</v>
      </c>
      <c r="M33" s="3">
        <v>30</v>
      </c>
      <c r="N33" s="35">
        <f t="shared" si="5"/>
        <v>384.93221454242638</v>
      </c>
      <c r="O33" s="35">
        <f t="shared" si="6"/>
        <v>1.4625951758006146</v>
      </c>
      <c r="P33" s="48">
        <f t="shared" si="7"/>
        <v>576.13189497628139</v>
      </c>
      <c r="T33" s="4" t="s">
        <v>4</v>
      </c>
      <c r="U33" s="48">
        <f>SUMIF($C$4:$C$128,$T$33,$O$4:$O$128)/COUNTIF($C$4:$C$128,$T$33)</f>
        <v>0.70432171329893167</v>
      </c>
      <c r="W33" s="40" t="s">
        <v>59</v>
      </c>
      <c r="X33" s="41">
        <f>SUMXMY2($G$4:$G$128,$N$4:$N$128)/COUNT($G$4:$G$128)</f>
        <v>23494.84025388072</v>
      </c>
    </row>
    <row r="34" spans="2:24" ht="15" thickBot="1" x14ac:dyDescent="0.35">
      <c r="B34" s="9">
        <v>42369</v>
      </c>
      <c r="C34" s="3" t="s">
        <v>6</v>
      </c>
      <c r="D34" s="3" t="s">
        <v>11</v>
      </c>
      <c r="E34" s="3" t="s">
        <v>29</v>
      </c>
      <c r="F34" s="5" t="s">
        <v>30</v>
      </c>
      <c r="G34" s="25">
        <v>522</v>
      </c>
      <c r="H34" s="3">
        <f t="shared" si="0"/>
        <v>0</v>
      </c>
      <c r="I34" s="3">
        <f t="shared" si="1"/>
        <v>0</v>
      </c>
      <c r="J34" s="3">
        <f t="shared" si="2"/>
        <v>1</v>
      </c>
      <c r="K34" s="3">
        <f t="shared" si="3"/>
        <v>0</v>
      </c>
      <c r="L34" s="35">
        <f t="shared" si="4"/>
        <v>1</v>
      </c>
      <c r="M34" s="3">
        <v>31</v>
      </c>
      <c r="N34" s="35">
        <f t="shared" si="5"/>
        <v>674.76311404042508</v>
      </c>
      <c r="O34" s="35">
        <f t="shared" si="6"/>
        <v>0.77360482388301821</v>
      </c>
      <c r="P34" s="48">
        <f t="shared" si="7"/>
        <v>687.5040072025281</v>
      </c>
      <c r="T34" s="4" t="s">
        <v>5</v>
      </c>
      <c r="U34" s="48">
        <f>SUMIF($C$4:$C$128,$T$34,$O$4:$O$128)/COUNTIF($C$4:$C$128,$T$34)</f>
        <v>1.496710000385747</v>
      </c>
      <c r="W34" s="42" t="s">
        <v>67</v>
      </c>
      <c r="X34" s="43">
        <f>SUMXMY2($G$4:$G$128,$P$4:$P$128)/COUNT($G$4:$G$128)</f>
        <v>15470.327061646874</v>
      </c>
    </row>
    <row r="35" spans="2:24" x14ac:dyDescent="0.3">
      <c r="B35" s="9">
        <v>42370</v>
      </c>
      <c r="C35" s="3" t="s">
        <v>7</v>
      </c>
      <c r="D35" s="3" t="s">
        <v>11</v>
      </c>
      <c r="E35" s="3" t="s">
        <v>15</v>
      </c>
      <c r="F35" s="5" t="s">
        <v>30</v>
      </c>
      <c r="G35" s="25">
        <v>306</v>
      </c>
      <c r="H35" s="3">
        <f t="shared" si="0"/>
        <v>1</v>
      </c>
      <c r="I35" s="3">
        <f t="shared" si="1"/>
        <v>0</v>
      </c>
      <c r="J35" s="3">
        <f t="shared" si="2"/>
        <v>1</v>
      </c>
      <c r="K35" s="3">
        <f t="shared" si="3"/>
        <v>0</v>
      </c>
      <c r="L35" s="35">
        <f t="shared" si="4"/>
        <v>1</v>
      </c>
      <c r="M35" s="3">
        <v>32</v>
      </c>
      <c r="N35" s="35">
        <f t="shared" si="5"/>
        <v>469.13514018014445</v>
      </c>
      <c r="O35" s="35">
        <f t="shared" si="6"/>
        <v>0.65226407870981107</v>
      </c>
      <c r="P35" s="48">
        <f t="shared" si="7"/>
        <v>382.46136966430271</v>
      </c>
      <c r="T35" s="4" t="s">
        <v>6</v>
      </c>
      <c r="U35" s="48">
        <f>SUMIF($C$4:$C$128,$T$35,$O$4:$O$128)/COUNTIF($C$4:$C$128,$T$35)</f>
        <v>1.0188820237754426</v>
      </c>
    </row>
    <row r="36" spans="2:24" x14ac:dyDescent="0.3">
      <c r="B36" s="9">
        <v>42371</v>
      </c>
      <c r="C36" s="3" t="s">
        <v>8</v>
      </c>
      <c r="D36" s="3" t="s">
        <v>11</v>
      </c>
      <c r="E36" s="3" t="s">
        <v>12</v>
      </c>
      <c r="F36" s="5" t="s">
        <v>13</v>
      </c>
      <c r="G36" s="25">
        <v>443</v>
      </c>
      <c r="H36" s="3">
        <f t="shared" ref="H36:H67" si="8">IF(E36=$H$3,1,0)</f>
        <v>0</v>
      </c>
      <c r="I36" s="3">
        <f t="shared" ref="I36:I67" si="9">IF(E36=$I$3,1,0)</f>
        <v>0</v>
      </c>
      <c r="J36" s="3">
        <f t="shared" ref="J36:J67" si="10">IF(D36=J$3,1,0)</f>
        <v>1</v>
      </c>
      <c r="K36" s="3">
        <f t="shared" ref="K36:K67" si="11">IF(D36=K$3,1,0)</f>
        <v>0</v>
      </c>
      <c r="L36" s="35">
        <f t="shared" ref="L36:L67" si="12">IF(F36="Yes",1,0)</f>
        <v>0</v>
      </c>
      <c r="M36" s="3">
        <v>33</v>
      </c>
      <c r="N36" s="35">
        <f t="shared" si="5"/>
        <v>466.87476351376813</v>
      </c>
      <c r="O36" s="35">
        <f t="shared" si="6"/>
        <v>0.94886259575462351</v>
      </c>
      <c r="P36" s="48">
        <f t="shared" si="7"/>
        <v>477.07003279595892</v>
      </c>
      <c r="T36" s="4" t="s">
        <v>7</v>
      </c>
      <c r="U36" s="48">
        <f>SUMIF($C$4:$C$128,$T$36,$O$4:$O$128)/COUNTIF($C$4:$C$128,$T$36)</f>
        <v>0.81524775466071531</v>
      </c>
    </row>
    <row r="37" spans="2:24" x14ac:dyDescent="0.3">
      <c r="B37" s="9">
        <v>42372</v>
      </c>
      <c r="C37" s="3" t="s">
        <v>9</v>
      </c>
      <c r="D37" s="3" t="s">
        <v>11</v>
      </c>
      <c r="E37" s="3" t="s">
        <v>15</v>
      </c>
      <c r="F37" s="5" t="s">
        <v>13</v>
      </c>
      <c r="G37" s="25">
        <v>267</v>
      </c>
      <c r="H37" s="3">
        <f t="shared" si="8"/>
        <v>1</v>
      </c>
      <c r="I37" s="3">
        <f t="shared" si="9"/>
        <v>0</v>
      </c>
      <c r="J37" s="3">
        <f t="shared" si="10"/>
        <v>1</v>
      </c>
      <c r="K37" s="3">
        <f t="shared" si="11"/>
        <v>0</v>
      </c>
      <c r="L37" s="35">
        <f t="shared" si="12"/>
        <v>0</v>
      </c>
      <c r="M37" s="3">
        <v>34</v>
      </c>
      <c r="N37" s="35">
        <f t="shared" si="5"/>
        <v>261.24678965348755</v>
      </c>
      <c r="O37" s="35">
        <f t="shared" si="6"/>
        <v>1.0220221284025859</v>
      </c>
      <c r="P37" s="48">
        <f t="shared" si="7"/>
        <v>246.4214241201818</v>
      </c>
      <c r="T37" s="4" t="s">
        <v>8</v>
      </c>
      <c r="U37" s="48">
        <f>SUMIF($C$4:$C$128,$T$37,$O$4:$O$128)/COUNTIF($C$4:$C$128,$T$37)</f>
        <v>1.0218372678905574</v>
      </c>
    </row>
    <row r="38" spans="2:24" x14ac:dyDescent="0.3">
      <c r="B38" s="9">
        <v>42373</v>
      </c>
      <c r="C38" s="3" t="s">
        <v>10</v>
      </c>
      <c r="D38" s="3" t="s">
        <v>11</v>
      </c>
      <c r="E38" s="3" t="s">
        <v>15</v>
      </c>
      <c r="F38" s="5" t="s">
        <v>13</v>
      </c>
      <c r="G38" s="25">
        <v>221</v>
      </c>
      <c r="H38" s="3">
        <f t="shared" si="8"/>
        <v>1</v>
      </c>
      <c r="I38" s="3">
        <f t="shared" si="9"/>
        <v>0</v>
      </c>
      <c r="J38" s="3">
        <f t="shared" si="10"/>
        <v>1</v>
      </c>
      <c r="K38" s="3">
        <f t="shared" si="11"/>
        <v>0</v>
      </c>
      <c r="L38" s="35">
        <f t="shared" si="12"/>
        <v>0</v>
      </c>
      <c r="M38" s="3">
        <v>35</v>
      </c>
      <c r="N38" s="35">
        <f t="shared" si="5"/>
        <v>263.41300647662297</v>
      </c>
      <c r="O38" s="35">
        <f t="shared" si="6"/>
        <v>0.83898666567785074</v>
      </c>
      <c r="P38" s="48">
        <f t="shared" si="7"/>
        <v>289.37442958125587</v>
      </c>
      <c r="T38" s="4" t="s">
        <v>9</v>
      </c>
      <c r="U38" s="48">
        <f>SUMIF($C$4:$C$128,$T$38,$O$4:$O$128)/COUNTIF($C$4:$C$128,$T$38)</f>
        <v>0.94325149199739522</v>
      </c>
      <c r="V38">
        <v>1</v>
      </c>
      <c r="W38" s="33" t="str">
        <f>_xlfn.CONCAT("Significance of F value is ",IF(Y16&lt;0.05,"less","greater")," than 0.05 which means model is ",IF(Y16&lt;0.05,"good fit","not good fit"))</f>
        <v>Significance of F value is less than 0.05 which means model is good fit</v>
      </c>
    </row>
    <row r="39" spans="2:24" ht="15" thickBot="1" x14ac:dyDescent="0.35">
      <c r="B39" s="9">
        <v>42374</v>
      </c>
      <c r="C39" s="3" t="s">
        <v>4</v>
      </c>
      <c r="D39" s="3" t="s">
        <v>11</v>
      </c>
      <c r="E39" s="3" t="s">
        <v>12</v>
      </c>
      <c r="F39" s="5" t="s">
        <v>13</v>
      </c>
      <c r="G39" s="25">
        <v>345</v>
      </c>
      <c r="H39" s="3">
        <f t="shared" si="8"/>
        <v>0</v>
      </c>
      <c r="I39" s="3">
        <f t="shared" si="9"/>
        <v>0</v>
      </c>
      <c r="J39" s="3">
        <f t="shared" si="10"/>
        <v>1</v>
      </c>
      <c r="K39" s="3">
        <f t="shared" si="11"/>
        <v>0</v>
      </c>
      <c r="L39" s="35">
        <f t="shared" si="12"/>
        <v>0</v>
      </c>
      <c r="M39" s="3">
        <v>36</v>
      </c>
      <c r="N39" s="35">
        <f t="shared" si="5"/>
        <v>473.37341398317437</v>
      </c>
      <c r="O39" s="35">
        <f t="shared" si="6"/>
        <v>0.72881152555023443</v>
      </c>
      <c r="P39" s="48">
        <f t="shared" si="7"/>
        <v>333.40717396679383</v>
      </c>
      <c r="T39" s="6" t="s">
        <v>10</v>
      </c>
      <c r="U39" s="43">
        <f>SUMIF($C$4:$C$128,$T$39,$O$4:$O$128)/COUNTIF($C$4:$C$128,$T$39)</f>
        <v>1.0985578633792212</v>
      </c>
      <c r="V39">
        <v>2</v>
      </c>
      <c r="W39" s="33" t="s">
        <v>84</v>
      </c>
    </row>
    <row r="40" spans="2:24" x14ac:dyDescent="0.3">
      <c r="B40" s="9">
        <v>42375</v>
      </c>
      <c r="C40" s="3" t="s">
        <v>5</v>
      </c>
      <c r="D40" s="3" t="s">
        <v>11</v>
      </c>
      <c r="E40" s="3" t="s">
        <v>12</v>
      </c>
      <c r="F40" s="5" t="s">
        <v>13</v>
      </c>
      <c r="G40" s="25">
        <v>798</v>
      </c>
      <c r="H40" s="3">
        <f t="shared" si="8"/>
        <v>0</v>
      </c>
      <c r="I40" s="3">
        <f t="shared" si="9"/>
        <v>0</v>
      </c>
      <c r="J40" s="3">
        <f t="shared" si="10"/>
        <v>1</v>
      </c>
      <c r="K40" s="3">
        <f t="shared" si="11"/>
        <v>0</v>
      </c>
      <c r="L40" s="35">
        <f t="shared" si="12"/>
        <v>0</v>
      </c>
      <c r="M40" s="3">
        <v>37</v>
      </c>
      <c r="N40" s="35">
        <f t="shared" si="5"/>
        <v>475.53963080630979</v>
      </c>
      <c r="O40" s="35">
        <f t="shared" si="6"/>
        <v>1.6780935768632717</v>
      </c>
      <c r="P40" s="48">
        <f t="shared" si="7"/>
        <v>711.74492100754992</v>
      </c>
      <c r="W40" s="29" t="s">
        <v>11</v>
      </c>
    </row>
    <row r="41" spans="2:24" x14ac:dyDescent="0.3">
      <c r="B41" s="9">
        <v>42376</v>
      </c>
      <c r="C41" s="3" t="s">
        <v>6</v>
      </c>
      <c r="D41" s="3" t="s">
        <v>11</v>
      </c>
      <c r="E41" s="3" t="s">
        <v>12</v>
      </c>
      <c r="F41" s="5" t="s">
        <v>13</v>
      </c>
      <c r="G41" s="25">
        <v>394</v>
      </c>
      <c r="H41" s="3">
        <f t="shared" si="8"/>
        <v>0</v>
      </c>
      <c r="I41" s="3">
        <f t="shared" si="9"/>
        <v>0</v>
      </c>
      <c r="J41" s="3">
        <f t="shared" si="10"/>
        <v>1</v>
      </c>
      <c r="K41" s="3">
        <f t="shared" si="11"/>
        <v>0</v>
      </c>
      <c r="L41" s="35">
        <f t="shared" si="12"/>
        <v>0</v>
      </c>
      <c r="M41" s="3">
        <v>38</v>
      </c>
      <c r="N41" s="35">
        <f t="shared" si="5"/>
        <v>477.7058476294452</v>
      </c>
      <c r="O41" s="35">
        <f t="shared" si="6"/>
        <v>0.82477533393232494</v>
      </c>
      <c r="P41" s="48">
        <f t="shared" si="7"/>
        <v>486.72590080205231</v>
      </c>
      <c r="W41" s="29" t="s">
        <v>14</v>
      </c>
    </row>
    <row r="42" spans="2:24" x14ac:dyDescent="0.3">
      <c r="B42" s="9">
        <v>42377</v>
      </c>
      <c r="C42" s="3" t="s">
        <v>7</v>
      </c>
      <c r="D42" s="3" t="s">
        <v>11</v>
      </c>
      <c r="E42" s="3" t="s">
        <v>15</v>
      </c>
      <c r="F42" s="5" t="s">
        <v>13</v>
      </c>
      <c r="G42" s="25">
        <v>238</v>
      </c>
      <c r="H42" s="3">
        <f t="shared" si="8"/>
        <v>1</v>
      </c>
      <c r="I42" s="3">
        <f t="shared" si="9"/>
        <v>0</v>
      </c>
      <c r="J42" s="3">
        <f t="shared" si="10"/>
        <v>1</v>
      </c>
      <c r="K42" s="3">
        <f t="shared" si="11"/>
        <v>0</v>
      </c>
      <c r="L42" s="35">
        <f t="shared" si="12"/>
        <v>0</v>
      </c>
      <c r="M42" s="3">
        <v>39</v>
      </c>
      <c r="N42" s="35">
        <f t="shared" si="5"/>
        <v>272.07787376916463</v>
      </c>
      <c r="O42" s="35">
        <f t="shared" si="6"/>
        <v>0.87474955865732451</v>
      </c>
      <c r="P42" s="48">
        <f t="shared" si="7"/>
        <v>221.81087568317298</v>
      </c>
      <c r="W42" s="29" t="s">
        <v>33</v>
      </c>
    </row>
    <row r="43" spans="2:24" ht="15" thickBot="1" x14ac:dyDescent="0.35">
      <c r="B43" s="9">
        <v>42378</v>
      </c>
      <c r="C43" s="3" t="s">
        <v>8</v>
      </c>
      <c r="D43" s="3" t="s">
        <v>11</v>
      </c>
      <c r="E43" s="3" t="s">
        <v>15</v>
      </c>
      <c r="F43" s="5" t="s">
        <v>13</v>
      </c>
      <c r="G43" s="25">
        <v>272</v>
      </c>
      <c r="H43" s="3">
        <f t="shared" si="8"/>
        <v>1</v>
      </c>
      <c r="I43" s="3">
        <f t="shared" si="9"/>
        <v>0</v>
      </c>
      <c r="J43" s="3">
        <f t="shared" si="10"/>
        <v>1</v>
      </c>
      <c r="K43" s="3">
        <f t="shared" si="11"/>
        <v>0</v>
      </c>
      <c r="L43" s="35">
        <f t="shared" si="12"/>
        <v>0</v>
      </c>
      <c r="M43" s="3">
        <v>40</v>
      </c>
      <c r="N43" s="35">
        <f t="shared" si="5"/>
        <v>274.24409059230004</v>
      </c>
      <c r="O43" s="35">
        <f t="shared" si="6"/>
        <v>0.99181717794737767</v>
      </c>
      <c r="P43" s="48">
        <f t="shared" si="7"/>
        <v>280.23283226596641</v>
      </c>
      <c r="W43" s="30" t="s">
        <v>34</v>
      </c>
    </row>
    <row r="44" spans="2:24" x14ac:dyDescent="0.3">
      <c r="B44" s="9">
        <v>42379</v>
      </c>
      <c r="C44" s="3" t="s">
        <v>9</v>
      </c>
      <c r="D44" s="3" t="s">
        <v>14</v>
      </c>
      <c r="E44" s="3" t="s">
        <v>16</v>
      </c>
      <c r="F44" s="5" t="s">
        <v>13</v>
      </c>
      <c r="G44" s="25">
        <v>236</v>
      </c>
      <c r="H44" s="3">
        <f t="shared" si="8"/>
        <v>0</v>
      </c>
      <c r="I44" s="3">
        <f t="shared" si="9"/>
        <v>1</v>
      </c>
      <c r="J44" s="3">
        <f t="shared" si="10"/>
        <v>0</v>
      </c>
      <c r="K44" s="3">
        <f t="shared" si="11"/>
        <v>1</v>
      </c>
      <c r="L44" s="35">
        <f t="shared" si="12"/>
        <v>0</v>
      </c>
      <c r="M44" s="3">
        <v>41</v>
      </c>
      <c r="N44" s="35">
        <f t="shared" si="5"/>
        <v>247.38924488986555</v>
      </c>
      <c r="O44" s="35">
        <f t="shared" si="6"/>
        <v>0.95396224724750711</v>
      </c>
      <c r="P44" s="48">
        <f t="shared" si="7"/>
        <v>233.35027434647466</v>
      </c>
      <c r="V44">
        <v>3</v>
      </c>
      <c r="W44" s="44" t="s">
        <v>85</v>
      </c>
    </row>
    <row r="45" spans="2:24" x14ac:dyDescent="0.3">
      <c r="B45" s="9">
        <v>42380</v>
      </c>
      <c r="C45" s="3" t="s">
        <v>10</v>
      </c>
      <c r="D45" s="3" t="s">
        <v>11</v>
      </c>
      <c r="E45" s="3" t="s">
        <v>12</v>
      </c>
      <c r="F45" s="5" t="s">
        <v>13</v>
      </c>
      <c r="G45" s="25">
        <v>411</v>
      </c>
      <c r="H45" s="3">
        <f t="shared" si="8"/>
        <v>0</v>
      </c>
      <c r="I45" s="3">
        <f t="shared" si="9"/>
        <v>0</v>
      </c>
      <c r="J45" s="3">
        <f t="shared" si="10"/>
        <v>1</v>
      </c>
      <c r="K45" s="3">
        <f t="shared" si="11"/>
        <v>0</v>
      </c>
      <c r="L45" s="35">
        <f t="shared" si="12"/>
        <v>0</v>
      </c>
      <c r="M45" s="3">
        <v>42</v>
      </c>
      <c r="N45" s="35">
        <f t="shared" si="5"/>
        <v>486.37071492198686</v>
      </c>
      <c r="O45" s="35">
        <f t="shared" si="6"/>
        <v>0.84503443030266279</v>
      </c>
      <c r="P45" s="48">
        <f t="shared" si="7"/>
        <v>534.30637339492216</v>
      </c>
      <c r="V45">
        <v>4</v>
      </c>
      <c r="W45" s="33" t="str">
        <f>_xlfn.CONCAT("Adjusted R square is ",ROUND(U10,3))</f>
        <v>Adjusted R square is 0.56</v>
      </c>
    </row>
    <row r="46" spans="2:24" x14ac:dyDescent="0.3">
      <c r="B46" s="9">
        <v>42381</v>
      </c>
      <c r="C46" s="3" t="s">
        <v>4</v>
      </c>
      <c r="D46" s="3" t="s">
        <v>11</v>
      </c>
      <c r="E46" s="3" t="s">
        <v>15</v>
      </c>
      <c r="F46" s="5" t="s">
        <v>13</v>
      </c>
      <c r="G46" s="25">
        <v>217</v>
      </c>
      <c r="H46" s="3">
        <f t="shared" si="8"/>
        <v>1</v>
      </c>
      <c r="I46" s="3">
        <f t="shared" si="9"/>
        <v>0</v>
      </c>
      <c r="J46" s="3">
        <f t="shared" si="10"/>
        <v>1</v>
      </c>
      <c r="K46" s="3">
        <f t="shared" si="11"/>
        <v>0</v>
      </c>
      <c r="L46" s="35">
        <f t="shared" si="12"/>
        <v>0</v>
      </c>
      <c r="M46" s="3">
        <v>43</v>
      </c>
      <c r="N46" s="35">
        <f t="shared" si="5"/>
        <v>280.74274106170628</v>
      </c>
      <c r="O46" s="35">
        <f t="shared" si="6"/>
        <v>0.77294963773365788</v>
      </c>
      <c r="P46" s="48">
        <f t="shared" si="7"/>
        <v>197.73320838081929</v>
      </c>
    </row>
    <row r="47" spans="2:24" x14ac:dyDescent="0.3">
      <c r="B47" s="9">
        <v>42382</v>
      </c>
      <c r="C47" s="3" t="s">
        <v>5</v>
      </c>
      <c r="D47" s="3" t="s">
        <v>11</v>
      </c>
      <c r="E47" s="3" t="s">
        <v>12</v>
      </c>
      <c r="F47" s="5" t="s">
        <v>13</v>
      </c>
      <c r="G47" s="25">
        <v>854</v>
      </c>
      <c r="H47" s="3">
        <f t="shared" si="8"/>
        <v>0</v>
      </c>
      <c r="I47" s="3">
        <f t="shared" si="9"/>
        <v>0</v>
      </c>
      <c r="J47" s="3">
        <f t="shared" si="10"/>
        <v>1</v>
      </c>
      <c r="K47" s="3">
        <f t="shared" si="11"/>
        <v>0</v>
      </c>
      <c r="L47" s="35">
        <f t="shared" si="12"/>
        <v>0</v>
      </c>
      <c r="M47" s="3">
        <v>44</v>
      </c>
      <c r="N47" s="35">
        <f t="shared" si="5"/>
        <v>490.70314856825769</v>
      </c>
      <c r="O47" s="35">
        <f t="shared" si="6"/>
        <v>1.7403597317273114</v>
      </c>
      <c r="P47" s="48">
        <f t="shared" si="7"/>
        <v>734.44030968288428</v>
      </c>
    </row>
    <row r="48" spans="2:24" x14ac:dyDescent="0.3">
      <c r="B48" s="9">
        <v>42383</v>
      </c>
      <c r="C48" s="3" t="s">
        <v>6</v>
      </c>
      <c r="D48" s="3" t="s">
        <v>11</v>
      </c>
      <c r="E48" s="3" t="s">
        <v>15</v>
      </c>
      <c r="F48" s="5" t="s">
        <v>13</v>
      </c>
      <c r="G48" s="25">
        <v>245</v>
      </c>
      <c r="H48" s="3">
        <f t="shared" si="8"/>
        <v>1</v>
      </c>
      <c r="I48" s="3">
        <f t="shared" si="9"/>
        <v>0</v>
      </c>
      <c r="J48" s="3">
        <f t="shared" si="10"/>
        <v>1</v>
      </c>
      <c r="K48" s="3">
        <f t="shared" si="11"/>
        <v>0</v>
      </c>
      <c r="L48" s="35">
        <f t="shared" si="12"/>
        <v>0</v>
      </c>
      <c r="M48" s="3">
        <v>45</v>
      </c>
      <c r="N48" s="35">
        <f t="shared" si="5"/>
        <v>285.07517470797711</v>
      </c>
      <c r="O48" s="35">
        <f t="shared" si="6"/>
        <v>0.85942243217414849</v>
      </c>
      <c r="P48" s="48">
        <f t="shared" si="7"/>
        <v>290.45797093460158</v>
      </c>
    </row>
    <row r="49" spans="2:16" x14ac:dyDescent="0.3">
      <c r="B49" s="9">
        <v>42384</v>
      </c>
      <c r="C49" s="3" t="s">
        <v>7</v>
      </c>
      <c r="D49" s="3" t="s">
        <v>11</v>
      </c>
      <c r="E49" s="3" t="s">
        <v>15</v>
      </c>
      <c r="F49" s="5" t="s">
        <v>13</v>
      </c>
      <c r="G49" s="25">
        <v>254</v>
      </c>
      <c r="H49" s="3">
        <f t="shared" si="8"/>
        <v>1</v>
      </c>
      <c r="I49" s="3">
        <f t="shared" si="9"/>
        <v>0</v>
      </c>
      <c r="J49" s="3">
        <f t="shared" si="10"/>
        <v>1</v>
      </c>
      <c r="K49" s="3">
        <f t="shared" si="11"/>
        <v>0</v>
      </c>
      <c r="L49" s="35">
        <f t="shared" si="12"/>
        <v>0</v>
      </c>
      <c r="M49" s="3">
        <v>46</v>
      </c>
      <c r="N49" s="35">
        <f t="shared" si="5"/>
        <v>287.24139153111253</v>
      </c>
      <c r="O49" s="35">
        <f t="shared" si="6"/>
        <v>0.88427367186211392</v>
      </c>
      <c r="P49" s="48">
        <f t="shared" si="7"/>
        <v>234.17289949135889</v>
      </c>
    </row>
    <row r="50" spans="2:16" x14ac:dyDescent="0.3">
      <c r="B50" s="9">
        <v>42385</v>
      </c>
      <c r="C50" s="3" t="s">
        <v>8</v>
      </c>
      <c r="D50" s="3" t="s">
        <v>11</v>
      </c>
      <c r="E50" s="3" t="s">
        <v>16</v>
      </c>
      <c r="F50" s="5" t="s">
        <v>13</v>
      </c>
      <c r="G50" s="25">
        <v>398</v>
      </c>
      <c r="H50" s="3">
        <f t="shared" si="8"/>
        <v>0</v>
      </c>
      <c r="I50" s="3">
        <f t="shared" si="9"/>
        <v>1</v>
      </c>
      <c r="J50" s="3">
        <f t="shared" si="10"/>
        <v>1</v>
      </c>
      <c r="K50" s="3">
        <f t="shared" si="11"/>
        <v>0</v>
      </c>
      <c r="L50" s="35">
        <f t="shared" si="12"/>
        <v>0</v>
      </c>
      <c r="M50" s="3">
        <v>47</v>
      </c>
      <c r="N50" s="35">
        <f t="shared" si="5"/>
        <v>421.75790053572848</v>
      </c>
      <c r="O50" s="35">
        <f t="shared" si="6"/>
        <v>0.94366934085751442</v>
      </c>
      <c r="P50" s="48">
        <f t="shared" si="7"/>
        <v>430.96794079468623</v>
      </c>
    </row>
    <row r="51" spans="2:16" x14ac:dyDescent="0.3">
      <c r="B51" s="9">
        <v>42386</v>
      </c>
      <c r="C51" s="3" t="s">
        <v>9</v>
      </c>
      <c r="D51" s="3" t="s">
        <v>11</v>
      </c>
      <c r="E51" s="3" t="s">
        <v>15</v>
      </c>
      <c r="F51" s="5" t="s">
        <v>13</v>
      </c>
      <c r="G51" s="25">
        <v>308</v>
      </c>
      <c r="H51" s="3">
        <f t="shared" si="8"/>
        <v>1</v>
      </c>
      <c r="I51" s="3">
        <f t="shared" si="9"/>
        <v>0</v>
      </c>
      <c r="J51" s="3">
        <f t="shared" si="10"/>
        <v>1</v>
      </c>
      <c r="K51" s="3">
        <f t="shared" si="11"/>
        <v>0</v>
      </c>
      <c r="L51" s="35">
        <f t="shared" si="12"/>
        <v>0</v>
      </c>
      <c r="M51" s="3">
        <v>48</v>
      </c>
      <c r="N51" s="35">
        <f t="shared" si="5"/>
        <v>291.57382517738336</v>
      </c>
      <c r="O51" s="35">
        <f t="shared" si="6"/>
        <v>1.0563362462752737</v>
      </c>
      <c r="P51" s="48">
        <f t="shared" si="7"/>
        <v>275.02744562595456</v>
      </c>
    </row>
    <row r="52" spans="2:16" x14ac:dyDescent="0.3">
      <c r="B52" s="9">
        <v>42387</v>
      </c>
      <c r="C52" s="3" t="s">
        <v>10</v>
      </c>
      <c r="D52" s="3" t="s">
        <v>11</v>
      </c>
      <c r="E52" s="3" t="s">
        <v>12</v>
      </c>
      <c r="F52" s="5" t="s">
        <v>30</v>
      </c>
      <c r="G52" s="25">
        <v>633</v>
      </c>
      <c r="H52" s="3">
        <f t="shared" si="8"/>
        <v>0</v>
      </c>
      <c r="I52" s="3">
        <f t="shared" si="9"/>
        <v>0</v>
      </c>
      <c r="J52" s="3">
        <f t="shared" si="10"/>
        <v>1</v>
      </c>
      <c r="K52" s="3">
        <f t="shared" si="11"/>
        <v>0</v>
      </c>
      <c r="L52" s="35">
        <f t="shared" si="12"/>
        <v>1</v>
      </c>
      <c r="M52" s="3">
        <v>49</v>
      </c>
      <c r="N52" s="35">
        <f t="shared" si="5"/>
        <v>713.75501685686254</v>
      </c>
      <c r="O52" s="35">
        <f t="shared" si="6"/>
        <v>0.88685891524450433</v>
      </c>
      <c r="P52" s="48">
        <f t="shared" si="7"/>
        <v>784.10118629447493</v>
      </c>
    </row>
    <row r="53" spans="2:16" x14ac:dyDescent="0.3">
      <c r="B53" s="9">
        <v>42388</v>
      </c>
      <c r="C53" s="3" t="s">
        <v>4</v>
      </c>
      <c r="D53" s="3" t="s">
        <v>11</v>
      </c>
      <c r="E53" s="3" t="s">
        <v>12</v>
      </c>
      <c r="F53" s="5" t="s">
        <v>13</v>
      </c>
      <c r="G53" s="25">
        <v>399</v>
      </c>
      <c r="H53" s="3">
        <f t="shared" si="8"/>
        <v>0</v>
      </c>
      <c r="I53" s="3">
        <f t="shared" si="9"/>
        <v>0</v>
      </c>
      <c r="J53" s="3">
        <f t="shared" si="10"/>
        <v>1</v>
      </c>
      <c r="K53" s="3">
        <f t="shared" si="11"/>
        <v>0</v>
      </c>
      <c r="L53" s="35">
        <f t="shared" si="12"/>
        <v>0</v>
      </c>
      <c r="M53" s="3">
        <v>50</v>
      </c>
      <c r="N53" s="35">
        <f t="shared" si="5"/>
        <v>503.70044950707018</v>
      </c>
      <c r="O53" s="35">
        <f t="shared" si="6"/>
        <v>0.7921374705749582</v>
      </c>
      <c r="P53" s="48">
        <f t="shared" si="7"/>
        <v>354.76716358626169</v>
      </c>
    </row>
    <row r="54" spans="2:16" x14ac:dyDescent="0.3">
      <c r="B54" s="9">
        <v>42389</v>
      </c>
      <c r="C54" s="3" t="s">
        <v>5</v>
      </c>
      <c r="D54" s="3" t="s">
        <v>11</v>
      </c>
      <c r="E54" s="3" t="s">
        <v>15</v>
      </c>
      <c r="F54" s="5" t="s">
        <v>13</v>
      </c>
      <c r="G54" s="25">
        <v>492</v>
      </c>
      <c r="H54" s="3">
        <f t="shared" si="8"/>
        <v>1</v>
      </c>
      <c r="I54" s="3">
        <f t="shared" si="9"/>
        <v>0</v>
      </c>
      <c r="J54" s="3">
        <f t="shared" si="10"/>
        <v>1</v>
      </c>
      <c r="K54" s="3">
        <f t="shared" si="11"/>
        <v>0</v>
      </c>
      <c r="L54" s="35">
        <f t="shared" si="12"/>
        <v>0</v>
      </c>
      <c r="M54" s="3">
        <v>51</v>
      </c>
      <c r="N54" s="35">
        <f t="shared" si="5"/>
        <v>298.0724756467896</v>
      </c>
      <c r="O54" s="35">
        <f t="shared" si="6"/>
        <v>1.6506052728699814</v>
      </c>
      <c r="P54" s="48">
        <f t="shared" si="7"/>
        <v>446.12805514028702</v>
      </c>
    </row>
    <row r="55" spans="2:16" x14ac:dyDescent="0.3">
      <c r="B55" s="9">
        <v>42390</v>
      </c>
      <c r="C55" s="3" t="s">
        <v>6</v>
      </c>
      <c r="D55" s="3" t="s">
        <v>11</v>
      </c>
      <c r="E55" s="3" t="s">
        <v>12</v>
      </c>
      <c r="F55" s="5" t="s">
        <v>13</v>
      </c>
      <c r="G55" s="25">
        <v>451</v>
      </c>
      <c r="H55" s="3">
        <f t="shared" si="8"/>
        <v>0</v>
      </c>
      <c r="I55" s="3">
        <f t="shared" si="9"/>
        <v>0</v>
      </c>
      <c r="J55" s="3">
        <f t="shared" si="10"/>
        <v>1</v>
      </c>
      <c r="K55" s="3">
        <f t="shared" si="11"/>
        <v>0</v>
      </c>
      <c r="L55" s="35">
        <f t="shared" si="12"/>
        <v>0</v>
      </c>
      <c r="M55" s="3">
        <v>52</v>
      </c>
      <c r="N55" s="35">
        <f t="shared" si="5"/>
        <v>508.032883153341</v>
      </c>
      <c r="O55" s="35">
        <f t="shared" si="6"/>
        <v>0.88773781177442679</v>
      </c>
      <c r="P55" s="48">
        <f t="shared" si="7"/>
        <v>517.62557213174898</v>
      </c>
    </row>
    <row r="56" spans="2:16" x14ac:dyDescent="0.3">
      <c r="B56" s="9">
        <v>42391</v>
      </c>
      <c r="C56" s="3" t="s">
        <v>7</v>
      </c>
      <c r="D56" s="3" t="s">
        <v>11</v>
      </c>
      <c r="E56" s="3" t="s">
        <v>12</v>
      </c>
      <c r="F56" s="5" t="s">
        <v>13</v>
      </c>
      <c r="G56" s="25">
        <v>483</v>
      </c>
      <c r="H56" s="3">
        <f t="shared" si="8"/>
        <v>0</v>
      </c>
      <c r="I56" s="3">
        <f t="shared" si="9"/>
        <v>0</v>
      </c>
      <c r="J56" s="3">
        <f t="shared" si="10"/>
        <v>1</v>
      </c>
      <c r="K56" s="3">
        <f t="shared" si="11"/>
        <v>0</v>
      </c>
      <c r="L56" s="35">
        <f t="shared" si="12"/>
        <v>0</v>
      </c>
      <c r="M56" s="3">
        <v>53</v>
      </c>
      <c r="N56" s="35">
        <f t="shared" si="5"/>
        <v>510.19909997647648</v>
      </c>
      <c r="O56" s="35">
        <f t="shared" si="6"/>
        <v>0.9466892435174219</v>
      </c>
      <c r="P56" s="48">
        <f t="shared" si="7"/>
        <v>415.93867068574025</v>
      </c>
    </row>
    <row r="57" spans="2:16" x14ac:dyDescent="0.3">
      <c r="B57" s="9">
        <v>42392</v>
      </c>
      <c r="C57" s="3" t="s">
        <v>8</v>
      </c>
      <c r="D57" s="3" t="s">
        <v>11</v>
      </c>
      <c r="E57" s="3" t="s">
        <v>15</v>
      </c>
      <c r="F57" s="5" t="s">
        <v>13</v>
      </c>
      <c r="G57" s="25">
        <v>308</v>
      </c>
      <c r="H57" s="3">
        <f t="shared" si="8"/>
        <v>1</v>
      </c>
      <c r="I57" s="3">
        <f t="shared" si="9"/>
        <v>0</v>
      </c>
      <c r="J57" s="3">
        <f t="shared" si="10"/>
        <v>1</v>
      </c>
      <c r="K57" s="3">
        <f t="shared" si="11"/>
        <v>0</v>
      </c>
      <c r="L57" s="35">
        <f t="shared" si="12"/>
        <v>0</v>
      </c>
      <c r="M57" s="3">
        <v>54</v>
      </c>
      <c r="N57" s="35">
        <f t="shared" si="5"/>
        <v>304.57112611619584</v>
      </c>
      <c r="O57" s="35">
        <f t="shared" si="6"/>
        <v>1.0112580398789872</v>
      </c>
      <c r="P57" s="48">
        <f t="shared" si="7"/>
        <v>311.22212738892398</v>
      </c>
    </row>
    <row r="58" spans="2:16" x14ac:dyDescent="0.3">
      <c r="B58" s="9">
        <v>42393</v>
      </c>
      <c r="C58" s="3" t="s">
        <v>9</v>
      </c>
      <c r="D58" s="3" t="s">
        <v>11</v>
      </c>
      <c r="E58" s="3" t="s">
        <v>12</v>
      </c>
      <c r="F58" s="5" t="s">
        <v>13</v>
      </c>
      <c r="G58" s="25">
        <v>598</v>
      </c>
      <c r="H58" s="3">
        <f t="shared" si="8"/>
        <v>0</v>
      </c>
      <c r="I58" s="3">
        <f t="shared" si="9"/>
        <v>0</v>
      </c>
      <c r="J58" s="3">
        <f t="shared" si="10"/>
        <v>1</v>
      </c>
      <c r="K58" s="3">
        <f t="shared" si="11"/>
        <v>0</v>
      </c>
      <c r="L58" s="35">
        <f t="shared" si="12"/>
        <v>0</v>
      </c>
      <c r="M58" s="3">
        <v>55</v>
      </c>
      <c r="N58" s="35">
        <f t="shared" si="5"/>
        <v>514.53153362274725</v>
      </c>
      <c r="O58" s="35">
        <f t="shared" si="6"/>
        <v>1.1622222564078095</v>
      </c>
      <c r="P58" s="48">
        <f t="shared" si="7"/>
        <v>485.33263676936429</v>
      </c>
    </row>
    <row r="59" spans="2:16" x14ac:dyDescent="0.3">
      <c r="B59" s="9">
        <v>42394</v>
      </c>
      <c r="C59" s="3" t="s">
        <v>10</v>
      </c>
      <c r="D59" s="3" t="s">
        <v>11</v>
      </c>
      <c r="E59" s="3" t="s">
        <v>15</v>
      </c>
      <c r="F59" s="5" t="s">
        <v>13</v>
      </c>
      <c r="G59" s="25">
        <v>267</v>
      </c>
      <c r="H59" s="3">
        <f t="shared" si="8"/>
        <v>1</v>
      </c>
      <c r="I59" s="3">
        <f t="shared" si="9"/>
        <v>0</v>
      </c>
      <c r="J59" s="3">
        <f t="shared" si="10"/>
        <v>1</v>
      </c>
      <c r="K59" s="3">
        <f t="shared" si="11"/>
        <v>0</v>
      </c>
      <c r="L59" s="35">
        <f t="shared" si="12"/>
        <v>0</v>
      </c>
      <c r="M59" s="3">
        <v>56</v>
      </c>
      <c r="N59" s="35">
        <f t="shared" si="5"/>
        <v>308.90355976246667</v>
      </c>
      <c r="O59" s="35">
        <f t="shared" si="6"/>
        <v>0.86434743647924073</v>
      </c>
      <c r="P59" s="48">
        <f t="shared" si="7"/>
        <v>339.34843460289096</v>
      </c>
    </row>
    <row r="60" spans="2:16" x14ac:dyDescent="0.3">
      <c r="B60" s="9">
        <v>42395</v>
      </c>
      <c r="C60" s="3" t="s">
        <v>4</v>
      </c>
      <c r="D60" s="3" t="s">
        <v>14</v>
      </c>
      <c r="E60" s="3" t="s">
        <v>15</v>
      </c>
      <c r="F60" s="5" t="s">
        <v>13</v>
      </c>
      <c r="G60" s="25">
        <v>154</v>
      </c>
      <c r="H60" s="3">
        <f t="shared" si="8"/>
        <v>1</v>
      </c>
      <c r="I60" s="3">
        <f t="shared" si="9"/>
        <v>0</v>
      </c>
      <c r="J60" s="3">
        <f t="shared" si="10"/>
        <v>0</v>
      </c>
      <c r="K60" s="3">
        <f t="shared" si="11"/>
        <v>1</v>
      </c>
      <c r="L60" s="35">
        <f t="shared" si="12"/>
        <v>0</v>
      </c>
      <c r="M60" s="3">
        <v>57</v>
      </c>
      <c r="N60" s="35">
        <f t="shared" si="5"/>
        <v>149.6984218785517</v>
      </c>
      <c r="O60" s="35">
        <f t="shared" si="6"/>
        <v>1.0287349597107851</v>
      </c>
      <c r="P60" s="48">
        <f t="shared" si="7"/>
        <v>105.43584897564781</v>
      </c>
    </row>
    <row r="61" spans="2:16" x14ac:dyDescent="0.3">
      <c r="B61" s="9">
        <v>42396</v>
      </c>
      <c r="C61" s="3" t="s">
        <v>5</v>
      </c>
      <c r="D61" s="3" t="s">
        <v>14</v>
      </c>
      <c r="E61" s="3" t="s">
        <v>15</v>
      </c>
      <c r="F61" s="5" t="s">
        <v>13</v>
      </c>
      <c r="G61" s="25">
        <v>297</v>
      </c>
      <c r="H61" s="3">
        <f t="shared" si="8"/>
        <v>1</v>
      </c>
      <c r="I61" s="3">
        <f t="shared" si="9"/>
        <v>0</v>
      </c>
      <c r="J61" s="3">
        <f t="shared" si="10"/>
        <v>0</v>
      </c>
      <c r="K61" s="3">
        <f t="shared" si="11"/>
        <v>1</v>
      </c>
      <c r="L61" s="35">
        <f t="shared" si="12"/>
        <v>0</v>
      </c>
      <c r="M61" s="3">
        <v>58</v>
      </c>
      <c r="N61" s="35">
        <f t="shared" si="5"/>
        <v>151.86463870168711</v>
      </c>
      <c r="O61" s="35">
        <f t="shared" si="6"/>
        <v>1.955688977625708</v>
      </c>
      <c r="P61" s="48">
        <f t="shared" si="7"/>
        <v>227.29732344978345</v>
      </c>
    </row>
    <row r="62" spans="2:16" x14ac:dyDescent="0.3">
      <c r="B62" s="9">
        <v>42397</v>
      </c>
      <c r="C62" s="3" t="s">
        <v>6</v>
      </c>
      <c r="D62" s="3" t="s">
        <v>11</v>
      </c>
      <c r="E62" s="3" t="s">
        <v>15</v>
      </c>
      <c r="F62" s="5" t="s">
        <v>13</v>
      </c>
      <c r="G62" s="25">
        <v>268</v>
      </c>
      <c r="H62" s="3">
        <f t="shared" si="8"/>
        <v>1</v>
      </c>
      <c r="I62" s="3">
        <f t="shared" si="9"/>
        <v>0</v>
      </c>
      <c r="J62" s="3">
        <f t="shared" si="10"/>
        <v>1</v>
      </c>
      <c r="K62" s="3">
        <f t="shared" si="11"/>
        <v>0</v>
      </c>
      <c r="L62" s="35">
        <f t="shared" si="12"/>
        <v>0</v>
      </c>
      <c r="M62" s="3">
        <v>59</v>
      </c>
      <c r="N62" s="35">
        <f t="shared" si="5"/>
        <v>315.40221023187291</v>
      </c>
      <c r="O62" s="35">
        <f t="shared" si="6"/>
        <v>0.8497086935534649</v>
      </c>
      <c r="P62" s="48">
        <f t="shared" si="7"/>
        <v>321.35764226429825</v>
      </c>
    </row>
    <row r="63" spans="2:16" x14ac:dyDescent="0.3">
      <c r="B63" s="9">
        <v>42398</v>
      </c>
      <c r="C63" s="3" t="s">
        <v>7</v>
      </c>
      <c r="D63" s="3" t="s">
        <v>11</v>
      </c>
      <c r="E63" s="3" t="s">
        <v>15</v>
      </c>
      <c r="F63" s="5" t="s">
        <v>13</v>
      </c>
      <c r="G63" s="25">
        <v>281</v>
      </c>
      <c r="H63" s="3">
        <f t="shared" si="8"/>
        <v>1</v>
      </c>
      <c r="I63" s="3">
        <f t="shared" si="9"/>
        <v>0</v>
      </c>
      <c r="J63" s="3">
        <f t="shared" si="10"/>
        <v>1</v>
      </c>
      <c r="K63" s="3">
        <f t="shared" si="11"/>
        <v>0</v>
      </c>
      <c r="L63" s="35">
        <f t="shared" si="12"/>
        <v>0</v>
      </c>
      <c r="M63" s="3">
        <v>60</v>
      </c>
      <c r="N63" s="35">
        <f t="shared" si="5"/>
        <v>317.56842705500833</v>
      </c>
      <c r="O63" s="35">
        <f t="shared" si="6"/>
        <v>0.88484866901244552</v>
      </c>
      <c r="P63" s="48">
        <f t="shared" si="7"/>
        <v>258.89694710773068</v>
      </c>
    </row>
    <row r="64" spans="2:16" x14ac:dyDescent="0.3">
      <c r="B64" s="9">
        <v>42399</v>
      </c>
      <c r="C64" s="3" t="s">
        <v>8</v>
      </c>
      <c r="D64" s="3" t="s">
        <v>11</v>
      </c>
      <c r="E64" s="3" t="s">
        <v>15</v>
      </c>
      <c r="F64" s="5" t="s">
        <v>13</v>
      </c>
      <c r="G64" s="25">
        <v>327</v>
      </c>
      <c r="H64" s="3">
        <f t="shared" si="8"/>
        <v>1</v>
      </c>
      <c r="I64" s="3">
        <f t="shared" si="9"/>
        <v>0</v>
      </c>
      <c r="J64" s="3">
        <f t="shared" si="10"/>
        <v>1</v>
      </c>
      <c r="K64" s="3">
        <f t="shared" si="11"/>
        <v>0</v>
      </c>
      <c r="L64" s="35">
        <f t="shared" si="12"/>
        <v>0</v>
      </c>
      <c r="M64" s="3">
        <v>61</v>
      </c>
      <c r="N64" s="35">
        <f t="shared" si="5"/>
        <v>319.73464387814374</v>
      </c>
      <c r="O64" s="35">
        <f t="shared" si="6"/>
        <v>1.0227230807201024</v>
      </c>
      <c r="P64" s="48">
        <f t="shared" si="7"/>
        <v>326.71677495040274</v>
      </c>
    </row>
    <row r="65" spans="2:16" x14ac:dyDescent="0.3">
      <c r="B65" s="9">
        <v>42400</v>
      </c>
      <c r="C65" s="3" t="s">
        <v>9</v>
      </c>
      <c r="D65" s="3" t="s">
        <v>14</v>
      </c>
      <c r="E65" s="3" t="s">
        <v>15</v>
      </c>
      <c r="F65" s="5" t="s">
        <v>13</v>
      </c>
      <c r="G65" s="25">
        <v>206</v>
      </c>
      <c r="H65" s="3">
        <f t="shared" si="8"/>
        <v>1</v>
      </c>
      <c r="I65" s="3">
        <f t="shared" si="9"/>
        <v>0</v>
      </c>
      <c r="J65" s="3">
        <f t="shared" si="10"/>
        <v>0</v>
      </c>
      <c r="K65" s="3">
        <f t="shared" si="11"/>
        <v>1</v>
      </c>
      <c r="L65" s="35">
        <f t="shared" si="12"/>
        <v>0</v>
      </c>
      <c r="M65" s="3">
        <v>62</v>
      </c>
      <c r="N65" s="35">
        <f t="shared" si="5"/>
        <v>160.52950599422877</v>
      </c>
      <c r="O65" s="35">
        <f t="shared" si="6"/>
        <v>1.2832531859121645</v>
      </c>
      <c r="P65" s="48">
        <f t="shared" si="7"/>
        <v>151.4196960386611</v>
      </c>
    </row>
    <row r="66" spans="2:16" x14ac:dyDescent="0.3">
      <c r="B66" s="9">
        <v>42401</v>
      </c>
      <c r="C66" s="3" t="s">
        <v>10</v>
      </c>
      <c r="D66" s="3" t="s">
        <v>26</v>
      </c>
      <c r="E66" s="3" t="s">
        <v>15</v>
      </c>
      <c r="F66" s="5" t="s">
        <v>13</v>
      </c>
      <c r="G66" s="25">
        <v>115</v>
      </c>
      <c r="H66" s="3">
        <f t="shared" si="8"/>
        <v>1</v>
      </c>
      <c r="I66" s="3">
        <f t="shared" si="9"/>
        <v>0</v>
      </c>
      <c r="J66" s="3">
        <f t="shared" si="10"/>
        <v>0</v>
      </c>
      <c r="K66" s="3">
        <f t="shared" si="11"/>
        <v>0</v>
      </c>
      <c r="L66" s="35">
        <f t="shared" si="12"/>
        <v>0</v>
      </c>
      <c r="M66" s="3">
        <v>63</v>
      </c>
      <c r="N66" s="35">
        <f t="shared" si="5"/>
        <v>24.580751608626173</v>
      </c>
      <c r="O66" s="35">
        <f t="shared" si="6"/>
        <v>4.678457430066655</v>
      </c>
      <c r="P66" s="48">
        <f t="shared" si="7"/>
        <v>27.003377967427724</v>
      </c>
    </row>
    <row r="67" spans="2:16" x14ac:dyDescent="0.3">
      <c r="B67" s="9">
        <v>42402</v>
      </c>
      <c r="C67" s="3" t="s">
        <v>4</v>
      </c>
      <c r="D67" s="3" t="s">
        <v>14</v>
      </c>
      <c r="E67" s="3" t="s">
        <v>15</v>
      </c>
      <c r="F67" s="5" t="s">
        <v>13</v>
      </c>
      <c r="G67" s="25">
        <v>154</v>
      </c>
      <c r="H67" s="3">
        <f t="shared" si="8"/>
        <v>1</v>
      </c>
      <c r="I67" s="3">
        <f t="shared" si="9"/>
        <v>0</v>
      </c>
      <c r="J67" s="3">
        <f t="shared" si="10"/>
        <v>0</v>
      </c>
      <c r="K67" s="3">
        <f t="shared" si="11"/>
        <v>1</v>
      </c>
      <c r="L67" s="35">
        <f t="shared" si="12"/>
        <v>0</v>
      </c>
      <c r="M67" s="3">
        <v>64</v>
      </c>
      <c r="N67" s="35">
        <f t="shared" si="5"/>
        <v>164.8619396404996</v>
      </c>
      <c r="O67" s="35">
        <f t="shared" si="6"/>
        <v>0.93411493481039165</v>
      </c>
      <c r="P67" s="48">
        <f t="shared" si="7"/>
        <v>116.11584378538174</v>
      </c>
    </row>
    <row r="68" spans="2:16" x14ac:dyDescent="0.3">
      <c r="B68" s="9">
        <v>42403</v>
      </c>
      <c r="C68" s="3" t="s">
        <v>5</v>
      </c>
      <c r="D68" s="3" t="s">
        <v>14</v>
      </c>
      <c r="E68" s="3" t="s">
        <v>16</v>
      </c>
      <c r="F68" s="5" t="s">
        <v>13</v>
      </c>
      <c r="G68" s="25">
        <v>430</v>
      </c>
      <c r="H68" s="3">
        <f t="shared" ref="H68:H99" si="13">IF(E68=$H$3,1,0)</f>
        <v>0</v>
      </c>
      <c r="I68" s="3">
        <f t="shared" ref="I68:I99" si="14">IF(E68=$I$3,1,0)</f>
        <v>1</v>
      </c>
      <c r="J68" s="3">
        <f t="shared" ref="J68:J99" si="15">IF(D68=J$3,1,0)</f>
        <v>0</v>
      </c>
      <c r="K68" s="3">
        <f t="shared" ref="K68:K99" si="16">IF(D68=K$3,1,0)</f>
        <v>1</v>
      </c>
      <c r="L68" s="35">
        <f t="shared" ref="L68:L99" si="17">IF(F68="Yes",1,0)</f>
        <v>0</v>
      </c>
      <c r="M68" s="3">
        <v>65</v>
      </c>
      <c r="N68" s="35">
        <f t="shared" si="5"/>
        <v>299.37844864511555</v>
      </c>
      <c r="O68" s="35">
        <f t="shared" si="6"/>
        <v>1.4363091329587447</v>
      </c>
      <c r="P68" s="48">
        <f t="shared" si="7"/>
        <v>448.08271798711525</v>
      </c>
    </row>
    <row r="69" spans="2:16" x14ac:dyDescent="0.3">
      <c r="B69" s="9">
        <v>42404</v>
      </c>
      <c r="C69" s="3" t="s">
        <v>6</v>
      </c>
      <c r="D69" s="3" t="s">
        <v>14</v>
      </c>
      <c r="E69" s="3" t="s">
        <v>15</v>
      </c>
      <c r="F69" s="5" t="s">
        <v>13</v>
      </c>
      <c r="G69" s="25">
        <v>172</v>
      </c>
      <c r="H69" s="3">
        <f t="shared" si="13"/>
        <v>1</v>
      </c>
      <c r="I69" s="3">
        <f t="shared" si="14"/>
        <v>0</v>
      </c>
      <c r="J69" s="3">
        <f t="shared" si="15"/>
        <v>0</v>
      </c>
      <c r="K69" s="3">
        <f t="shared" si="16"/>
        <v>1</v>
      </c>
      <c r="L69" s="35">
        <f t="shared" si="17"/>
        <v>0</v>
      </c>
      <c r="M69" s="3">
        <v>66</v>
      </c>
      <c r="N69" s="35">
        <f t="shared" ref="N69:N138" si="18">$U$21+$U$22*H69+$U$23*I69+$U$24*J69+$U$25*K69+$U$26*L69+$U$27*M69</f>
        <v>169.19437328677043</v>
      </c>
      <c r="O69" s="35">
        <f t="shared" ref="O69:O138" si="19">G69/N69</f>
        <v>1.0165822696034594</v>
      </c>
      <c r="P69" s="48">
        <f t="shared" ref="P69:P138" si="20">VLOOKUP(C69,$T$33:$U$39,2,FALSE)*N69</f>
        <v>172.38910546584233</v>
      </c>
    </row>
    <row r="70" spans="2:16" x14ac:dyDescent="0.3">
      <c r="B70" s="9">
        <v>42405</v>
      </c>
      <c r="C70" s="3" t="s">
        <v>7</v>
      </c>
      <c r="D70" s="3" t="s">
        <v>11</v>
      </c>
      <c r="E70" s="3" t="s">
        <v>16</v>
      </c>
      <c r="F70" s="5" t="s">
        <v>13</v>
      </c>
      <c r="G70" s="25">
        <v>424</v>
      </c>
      <c r="H70" s="3">
        <f t="shared" si="13"/>
        <v>0</v>
      </c>
      <c r="I70" s="3">
        <f t="shared" si="14"/>
        <v>1</v>
      </c>
      <c r="J70" s="3">
        <f t="shared" si="15"/>
        <v>1</v>
      </c>
      <c r="K70" s="3">
        <f t="shared" si="16"/>
        <v>0</v>
      </c>
      <c r="L70" s="35">
        <f t="shared" si="17"/>
        <v>0</v>
      </c>
      <c r="M70" s="3">
        <v>67</v>
      </c>
      <c r="N70" s="35">
        <f t="shared" si="18"/>
        <v>465.08223699843677</v>
      </c>
      <c r="O70" s="35">
        <f t="shared" si="19"/>
        <v>0.91166672530093884</v>
      </c>
      <c r="P70" s="48">
        <f t="shared" si="20"/>
        <v>379.15724944555825</v>
      </c>
    </row>
    <row r="71" spans="2:16" x14ac:dyDescent="0.3">
      <c r="B71" s="9">
        <v>42406</v>
      </c>
      <c r="C71" s="3" t="s">
        <v>8</v>
      </c>
      <c r="D71" s="3" t="s">
        <v>11</v>
      </c>
      <c r="E71" s="3" t="s">
        <v>15</v>
      </c>
      <c r="F71" s="5" t="s">
        <v>13</v>
      </c>
      <c r="G71" s="25">
        <v>343</v>
      </c>
      <c r="H71" s="3">
        <f t="shared" si="13"/>
        <v>1</v>
      </c>
      <c r="I71" s="3">
        <f t="shared" si="14"/>
        <v>0</v>
      </c>
      <c r="J71" s="3">
        <f t="shared" si="15"/>
        <v>1</v>
      </c>
      <c r="K71" s="3">
        <f t="shared" si="16"/>
        <v>0</v>
      </c>
      <c r="L71" s="35">
        <f t="shared" si="17"/>
        <v>0</v>
      </c>
      <c r="M71" s="3">
        <v>68</v>
      </c>
      <c r="N71" s="35">
        <f t="shared" si="18"/>
        <v>334.89816164009164</v>
      </c>
      <c r="O71" s="35">
        <f t="shared" si="19"/>
        <v>1.0241919463523816</v>
      </c>
      <c r="P71" s="48">
        <f t="shared" si="20"/>
        <v>342.21142251188149</v>
      </c>
    </row>
    <row r="72" spans="2:16" x14ac:dyDescent="0.3">
      <c r="B72" s="9">
        <v>42407</v>
      </c>
      <c r="C72" s="3" t="s">
        <v>9</v>
      </c>
      <c r="D72" s="3" t="s">
        <v>11</v>
      </c>
      <c r="E72" s="3" t="s">
        <v>15</v>
      </c>
      <c r="F72" s="5" t="s">
        <v>13</v>
      </c>
      <c r="G72" s="25">
        <v>373</v>
      </c>
      <c r="H72" s="3">
        <f t="shared" si="13"/>
        <v>1</v>
      </c>
      <c r="I72" s="3">
        <f t="shared" si="14"/>
        <v>0</v>
      </c>
      <c r="J72" s="3">
        <f t="shared" si="15"/>
        <v>1</v>
      </c>
      <c r="K72" s="3">
        <f t="shared" si="16"/>
        <v>0</v>
      </c>
      <c r="L72" s="35">
        <f t="shared" si="17"/>
        <v>0</v>
      </c>
      <c r="M72" s="3">
        <v>69</v>
      </c>
      <c r="N72" s="35">
        <f t="shared" si="18"/>
        <v>337.06437846322706</v>
      </c>
      <c r="O72" s="35">
        <f t="shared" si="19"/>
        <v>1.1066135249907265</v>
      </c>
      <c r="P72" s="48">
        <f t="shared" si="20"/>
        <v>317.93647788461362</v>
      </c>
    </row>
    <row r="73" spans="2:16" x14ac:dyDescent="0.3">
      <c r="B73" s="9">
        <v>42408</v>
      </c>
      <c r="C73" s="3" t="s">
        <v>10</v>
      </c>
      <c r="D73" s="3" t="s">
        <v>11</v>
      </c>
      <c r="E73" s="3" t="s">
        <v>15</v>
      </c>
      <c r="F73" s="5" t="s">
        <v>30</v>
      </c>
      <c r="G73" s="25">
        <v>413</v>
      </c>
      <c r="H73" s="3">
        <f t="shared" si="13"/>
        <v>1</v>
      </c>
      <c r="I73" s="3">
        <f t="shared" si="14"/>
        <v>0</v>
      </c>
      <c r="J73" s="3">
        <f t="shared" si="15"/>
        <v>1</v>
      </c>
      <c r="K73" s="3">
        <f t="shared" si="16"/>
        <v>0</v>
      </c>
      <c r="L73" s="35">
        <f t="shared" si="17"/>
        <v>1</v>
      </c>
      <c r="M73" s="3">
        <v>70</v>
      </c>
      <c r="N73" s="35">
        <f t="shared" si="18"/>
        <v>551.45137945929025</v>
      </c>
      <c r="O73" s="35">
        <f t="shared" si="19"/>
        <v>0.74893275342779131</v>
      </c>
      <c r="P73" s="48">
        <f t="shared" si="20"/>
        <v>605.80124917632202</v>
      </c>
    </row>
    <row r="74" spans="2:16" x14ac:dyDescent="0.3">
      <c r="B74" s="9">
        <v>42409</v>
      </c>
      <c r="C74" s="3" t="s">
        <v>4</v>
      </c>
      <c r="D74" s="3" t="s">
        <v>11</v>
      </c>
      <c r="E74" s="3" t="s">
        <v>15</v>
      </c>
      <c r="F74" s="5" t="s">
        <v>13</v>
      </c>
      <c r="G74" s="25">
        <v>270</v>
      </c>
      <c r="H74" s="3">
        <f t="shared" si="13"/>
        <v>1</v>
      </c>
      <c r="I74" s="3">
        <f t="shared" si="14"/>
        <v>0</v>
      </c>
      <c r="J74" s="3">
        <f t="shared" si="15"/>
        <v>1</v>
      </c>
      <c r="K74" s="3">
        <f t="shared" si="16"/>
        <v>0</v>
      </c>
      <c r="L74" s="35">
        <f t="shared" si="17"/>
        <v>0</v>
      </c>
      <c r="M74" s="3">
        <v>71</v>
      </c>
      <c r="N74" s="35">
        <f t="shared" si="18"/>
        <v>341.39681210949789</v>
      </c>
      <c r="O74" s="35">
        <f t="shared" si="19"/>
        <v>0.79086854482226843</v>
      </c>
      <c r="P74" s="48">
        <f t="shared" si="20"/>
        <v>240.45318761975503</v>
      </c>
    </row>
    <row r="75" spans="2:16" x14ac:dyDescent="0.3">
      <c r="B75" s="9">
        <v>42410</v>
      </c>
      <c r="C75" s="3" t="s">
        <v>5</v>
      </c>
      <c r="D75" s="3" t="s">
        <v>11</v>
      </c>
      <c r="E75" s="3" t="s">
        <v>16</v>
      </c>
      <c r="F75" s="5" t="s">
        <v>30</v>
      </c>
      <c r="G75" s="25">
        <v>1252</v>
      </c>
      <c r="H75" s="3">
        <f t="shared" si="13"/>
        <v>0</v>
      </c>
      <c r="I75" s="3">
        <f t="shared" si="14"/>
        <v>1</v>
      </c>
      <c r="J75" s="3">
        <f t="shared" si="15"/>
        <v>1</v>
      </c>
      <c r="K75" s="3">
        <f t="shared" si="16"/>
        <v>0</v>
      </c>
      <c r="L75" s="35">
        <f t="shared" si="17"/>
        <v>1</v>
      </c>
      <c r="M75" s="3">
        <v>72</v>
      </c>
      <c r="N75" s="35">
        <f t="shared" si="18"/>
        <v>688.13410528704162</v>
      </c>
      <c r="O75" s="35">
        <f t="shared" si="19"/>
        <v>1.819412801052424</v>
      </c>
      <c r="P75" s="48">
        <f t="shared" si="20"/>
        <v>1029.9371969896138</v>
      </c>
    </row>
    <row r="76" spans="2:16" x14ac:dyDescent="0.3">
      <c r="B76" s="9">
        <v>42411</v>
      </c>
      <c r="C76" s="3" t="s">
        <v>6</v>
      </c>
      <c r="D76" s="3" t="s">
        <v>11</v>
      </c>
      <c r="E76" s="3" t="s">
        <v>12</v>
      </c>
      <c r="F76" s="5" t="s">
        <v>13</v>
      </c>
      <c r="G76" s="25">
        <v>541</v>
      </c>
      <c r="H76" s="3">
        <f t="shared" si="13"/>
        <v>0</v>
      </c>
      <c r="I76" s="3">
        <f t="shared" si="14"/>
        <v>0</v>
      </c>
      <c r="J76" s="3">
        <f t="shared" si="15"/>
        <v>1</v>
      </c>
      <c r="K76" s="3">
        <f t="shared" si="16"/>
        <v>0</v>
      </c>
      <c r="L76" s="35">
        <f t="shared" si="17"/>
        <v>0</v>
      </c>
      <c r="M76" s="3">
        <v>73</v>
      </c>
      <c r="N76" s="35">
        <f t="shared" si="18"/>
        <v>553.52343643918482</v>
      </c>
      <c r="O76" s="35">
        <f t="shared" si="19"/>
        <v>0.97737505656535872</v>
      </c>
      <c r="P76" s="48">
        <f t="shared" si="20"/>
        <v>563.97507912629419</v>
      </c>
    </row>
    <row r="77" spans="2:16" x14ac:dyDescent="0.3">
      <c r="B77" s="9">
        <v>42412</v>
      </c>
      <c r="C77" s="3" t="s">
        <v>7</v>
      </c>
      <c r="D77" s="3" t="s">
        <v>11</v>
      </c>
      <c r="E77" s="3" t="s">
        <v>15</v>
      </c>
      <c r="F77" s="5" t="s">
        <v>13</v>
      </c>
      <c r="G77" s="25">
        <v>315</v>
      </c>
      <c r="H77" s="3">
        <f t="shared" si="13"/>
        <v>1</v>
      </c>
      <c r="I77" s="3">
        <f t="shared" si="14"/>
        <v>0</v>
      </c>
      <c r="J77" s="3">
        <f t="shared" si="15"/>
        <v>1</v>
      </c>
      <c r="K77" s="3">
        <f t="shared" si="16"/>
        <v>0</v>
      </c>
      <c r="L77" s="35">
        <f t="shared" si="17"/>
        <v>0</v>
      </c>
      <c r="M77" s="3">
        <v>74</v>
      </c>
      <c r="N77" s="35">
        <f t="shared" si="18"/>
        <v>347.89546257890419</v>
      </c>
      <c r="O77" s="35">
        <f t="shared" si="19"/>
        <v>0.90544440466381948</v>
      </c>
      <c r="P77" s="48">
        <f t="shared" si="20"/>
        <v>283.62099472410256</v>
      </c>
    </row>
    <row r="78" spans="2:16" x14ac:dyDescent="0.3">
      <c r="B78" s="9">
        <v>42413</v>
      </c>
      <c r="C78" s="3" t="s">
        <v>8</v>
      </c>
      <c r="D78" s="3" t="s">
        <v>11</v>
      </c>
      <c r="E78" s="3" t="s">
        <v>12</v>
      </c>
      <c r="F78" s="5" t="s">
        <v>13</v>
      </c>
      <c r="G78" s="25">
        <v>654</v>
      </c>
      <c r="H78" s="3">
        <f t="shared" si="13"/>
        <v>0</v>
      </c>
      <c r="I78" s="3">
        <f t="shared" si="14"/>
        <v>0</v>
      </c>
      <c r="J78" s="3">
        <f t="shared" si="15"/>
        <v>1</v>
      </c>
      <c r="K78" s="3">
        <f t="shared" si="16"/>
        <v>0</v>
      </c>
      <c r="L78" s="35">
        <f t="shared" si="17"/>
        <v>0</v>
      </c>
      <c r="M78" s="3">
        <v>75</v>
      </c>
      <c r="N78" s="35">
        <f t="shared" si="18"/>
        <v>557.85587008545565</v>
      </c>
      <c r="O78" s="35">
        <f t="shared" si="19"/>
        <v>1.1723458245582616</v>
      </c>
      <c r="P78" s="48">
        <f t="shared" si="20"/>
        <v>570.03791816483169</v>
      </c>
    </row>
    <row r="79" spans="2:16" x14ac:dyDescent="0.3">
      <c r="B79" s="9">
        <v>42414</v>
      </c>
      <c r="C79" s="3" t="s">
        <v>9</v>
      </c>
      <c r="D79" s="3" t="s">
        <v>11</v>
      </c>
      <c r="E79" s="3" t="s">
        <v>12</v>
      </c>
      <c r="F79" s="5" t="s">
        <v>30</v>
      </c>
      <c r="G79" s="25">
        <v>1049</v>
      </c>
      <c r="H79" s="3">
        <f t="shared" si="13"/>
        <v>0</v>
      </c>
      <c r="I79" s="3">
        <f t="shared" si="14"/>
        <v>0</v>
      </c>
      <c r="J79" s="3">
        <f t="shared" si="15"/>
        <v>1</v>
      </c>
      <c r="K79" s="3">
        <f t="shared" si="16"/>
        <v>0</v>
      </c>
      <c r="L79" s="35">
        <f t="shared" si="17"/>
        <v>1</v>
      </c>
      <c r="M79" s="3">
        <v>76</v>
      </c>
      <c r="N79" s="35">
        <f t="shared" si="18"/>
        <v>772.24287108151873</v>
      </c>
      <c r="O79" s="35">
        <f t="shared" si="19"/>
        <v>1.3583809437190215</v>
      </c>
      <c r="P79" s="48">
        <f t="shared" si="20"/>
        <v>728.41924033199462</v>
      </c>
    </row>
    <row r="80" spans="2:16" x14ac:dyDescent="0.3">
      <c r="B80" s="9">
        <v>42415</v>
      </c>
      <c r="C80" s="3" t="s">
        <v>10</v>
      </c>
      <c r="D80" s="3" t="s">
        <v>11</v>
      </c>
      <c r="E80" s="3" t="s">
        <v>15</v>
      </c>
      <c r="F80" s="5" t="s">
        <v>30</v>
      </c>
      <c r="G80" s="25">
        <v>431</v>
      </c>
      <c r="H80" s="3">
        <f t="shared" si="13"/>
        <v>1</v>
      </c>
      <c r="I80" s="3">
        <f t="shared" si="14"/>
        <v>0</v>
      </c>
      <c r="J80" s="3">
        <f t="shared" si="15"/>
        <v>1</v>
      </c>
      <c r="K80" s="3">
        <f t="shared" si="16"/>
        <v>0</v>
      </c>
      <c r="L80" s="35">
        <f t="shared" si="17"/>
        <v>1</v>
      </c>
      <c r="M80" s="3">
        <v>77</v>
      </c>
      <c r="N80" s="35">
        <f t="shared" si="18"/>
        <v>566.61489722123815</v>
      </c>
      <c r="O80" s="35">
        <f t="shared" si="19"/>
        <v>0.76065772734477455</v>
      </c>
      <c r="P80" s="48">
        <f t="shared" si="20"/>
        <v>622.45925085020042</v>
      </c>
    </row>
    <row r="81" spans="2:16" x14ac:dyDescent="0.3">
      <c r="B81" s="9">
        <v>42416</v>
      </c>
      <c r="C81" s="3" t="s">
        <v>4</v>
      </c>
      <c r="D81" s="3" t="s">
        <v>11</v>
      </c>
      <c r="E81" s="3" t="s">
        <v>29</v>
      </c>
      <c r="F81" s="5" t="s">
        <v>13</v>
      </c>
      <c r="G81" s="25">
        <v>505</v>
      </c>
      <c r="H81" s="3">
        <f t="shared" si="13"/>
        <v>0</v>
      </c>
      <c r="I81" s="3">
        <f t="shared" si="14"/>
        <v>0</v>
      </c>
      <c r="J81" s="3">
        <f t="shared" si="15"/>
        <v>1</v>
      </c>
      <c r="K81" s="3">
        <f t="shared" si="16"/>
        <v>0</v>
      </c>
      <c r="L81" s="35">
        <f t="shared" si="17"/>
        <v>0</v>
      </c>
      <c r="M81" s="3">
        <v>78</v>
      </c>
      <c r="N81" s="35">
        <f t="shared" si="18"/>
        <v>564.35452055486189</v>
      </c>
      <c r="O81" s="35">
        <f t="shared" si="19"/>
        <v>0.89482759791397481</v>
      </c>
      <c r="P81" s="48">
        <f t="shared" si="20"/>
        <v>397.48714282519745</v>
      </c>
    </row>
    <row r="82" spans="2:16" x14ac:dyDescent="0.3">
      <c r="B82" s="9">
        <v>42417</v>
      </c>
      <c r="C82" s="3" t="s">
        <v>5</v>
      </c>
      <c r="D82" s="3" t="s">
        <v>11</v>
      </c>
      <c r="E82" s="3" t="s">
        <v>15</v>
      </c>
      <c r="F82" s="5" t="s">
        <v>13</v>
      </c>
      <c r="G82" s="25">
        <v>622</v>
      </c>
      <c r="H82" s="3">
        <f t="shared" si="13"/>
        <v>1</v>
      </c>
      <c r="I82" s="3">
        <f t="shared" si="14"/>
        <v>0</v>
      </c>
      <c r="J82" s="3">
        <f t="shared" si="15"/>
        <v>1</v>
      </c>
      <c r="K82" s="3">
        <f t="shared" si="16"/>
        <v>0</v>
      </c>
      <c r="L82" s="35">
        <f t="shared" si="17"/>
        <v>0</v>
      </c>
      <c r="M82" s="3">
        <v>79</v>
      </c>
      <c r="N82" s="35">
        <f t="shared" si="18"/>
        <v>358.72654669458126</v>
      </c>
      <c r="O82" s="35">
        <f t="shared" si="19"/>
        <v>1.7339112639733603</v>
      </c>
      <c r="P82" s="48">
        <f t="shared" si="20"/>
        <v>536.90960984162439</v>
      </c>
    </row>
    <row r="83" spans="2:16" x14ac:dyDescent="0.3">
      <c r="B83" s="9">
        <v>42418</v>
      </c>
      <c r="C83" s="3" t="s">
        <v>6</v>
      </c>
      <c r="D83" s="3" t="s">
        <v>11</v>
      </c>
      <c r="E83" s="3" t="s">
        <v>12</v>
      </c>
      <c r="F83" s="5" t="s">
        <v>13</v>
      </c>
      <c r="G83" s="25">
        <v>567</v>
      </c>
      <c r="H83" s="3">
        <f t="shared" si="13"/>
        <v>0</v>
      </c>
      <c r="I83" s="3">
        <f t="shared" si="14"/>
        <v>0</v>
      </c>
      <c r="J83" s="3">
        <f t="shared" si="15"/>
        <v>1</v>
      </c>
      <c r="K83" s="3">
        <f t="shared" si="16"/>
        <v>0</v>
      </c>
      <c r="L83" s="35">
        <f t="shared" si="17"/>
        <v>0</v>
      </c>
      <c r="M83" s="3">
        <v>80</v>
      </c>
      <c r="N83" s="35">
        <f t="shared" si="18"/>
        <v>568.68695420113272</v>
      </c>
      <c r="O83" s="35">
        <f t="shared" si="19"/>
        <v>0.99703359785437229</v>
      </c>
      <c r="P83" s="48">
        <f t="shared" si="20"/>
        <v>579.42491479114256</v>
      </c>
    </row>
    <row r="84" spans="2:16" x14ac:dyDescent="0.3">
      <c r="B84" s="9">
        <v>42419</v>
      </c>
      <c r="C84" s="3" t="s">
        <v>7</v>
      </c>
      <c r="D84" s="3" t="s">
        <v>11</v>
      </c>
      <c r="E84" s="3" t="s">
        <v>12</v>
      </c>
      <c r="F84" s="5" t="s">
        <v>13</v>
      </c>
      <c r="G84" s="25">
        <v>599</v>
      </c>
      <c r="H84" s="3">
        <f t="shared" si="13"/>
        <v>0</v>
      </c>
      <c r="I84" s="3">
        <f t="shared" si="14"/>
        <v>0</v>
      </c>
      <c r="J84" s="3">
        <f t="shared" si="15"/>
        <v>1</v>
      </c>
      <c r="K84" s="3">
        <f t="shared" si="16"/>
        <v>0</v>
      </c>
      <c r="L84" s="35">
        <f t="shared" si="17"/>
        <v>0</v>
      </c>
      <c r="M84" s="3">
        <v>81</v>
      </c>
      <c r="N84" s="35">
        <f t="shared" si="18"/>
        <v>570.85317102426814</v>
      </c>
      <c r="O84" s="35">
        <f t="shared" si="19"/>
        <v>1.0493066000233102</v>
      </c>
      <c r="P84" s="48">
        <f t="shared" si="20"/>
        <v>465.38676591848389</v>
      </c>
    </row>
    <row r="85" spans="2:16" x14ac:dyDescent="0.3">
      <c r="B85" s="9">
        <v>42420</v>
      </c>
      <c r="C85" s="3" t="s">
        <v>8</v>
      </c>
      <c r="D85" s="3" t="s">
        <v>14</v>
      </c>
      <c r="E85" s="3" t="s">
        <v>12</v>
      </c>
      <c r="F85" s="5" t="s">
        <v>13</v>
      </c>
      <c r="G85" s="25">
        <v>377</v>
      </c>
      <c r="H85" s="3">
        <f t="shared" si="13"/>
        <v>0</v>
      </c>
      <c r="I85" s="3">
        <f t="shared" si="14"/>
        <v>0</v>
      </c>
      <c r="J85" s="3">
        <f t="shared" si="15"/>
        <v>0</v>
      </c>
      <c r="K85" s="3">
        <f t="shared" si="16"/>
        <v>1</v>
      </c>
      <c r="L85" s="35">
        <f t="shared" si="17"/>
        <v>0</v>
      </c>
      <c r="M85" s="3">
        <v>82</v>
      </c>
      <c r="N85" s="35">
        <f t="shared" si="18"/>
        <v>411.64803314035311</v>
      </c>
      <c r="O85" s="35">
        <f t="shared" si="19"/>
        <v>0.91583092751340878</v>
      </c>
      <c r="P85" s="48">
        <f t="shared" si="20"/>
        <v>420.63730151666005</v>
      </c>
    </row>
    <row r="86" spans="2:16" x14ac:dyDescent="0.3">
      <c r="B86" s="9">
        <v>42421</v>
      </c>
      <c r="C86" s="3" t="s">
        <v>9</v>
      </c>
      <c r="D86" s="3" t="s">
        <v>14</v>
      </c>
      <c r="E86" s="3" t="s">
        <v>15</v>
      </c>
      <c r="F86" s="5" t="s">
        <v>13</v>
      </c>
      <c r="G86" s="25">
        <v>237</v>
      </c>
      <c r="H86" s="3">
        <f t="shared" si="13"/>
        <v>1</v>
      </c>
      <c r="I86" s="3">
        <f t="shared" si="14"/>
        <v>0</v>
      </c>
      <c r="J86" s="3">
        <f t="shared" si="15"/>
        <v>0</v>
      </c>
      <c r="K86" s="3">
        <f t="shared" si="16"/>
        <v>1</v>
      </c>
      <c r="L86" s="35">
        <f t="shared" si="17"/>
        <v>0</v>
      </c>
      <c r="M86" s="3">
        <v>83</v>
      </c>
      <c r="N86" s="35">
        <f t="shared" si="18"/>
        <v>206.0200592800725</v>
      </c>
      <c r="O86" s="35">
        <f t="shared" si="19"/>
        <v>1.1503734191135828</v>
      </c>
      <c r="P86" s="48">
        <f t="shared" si="20"/>
        <v>194.3287282973202</v>
      </c>
    </row>
    <row r="87" spans="2:16" x14ac:dyDescent="0.3">
      <c r="B87" s="9">
        <v>42422</v>
      </c>
      <c r="C87" s="3" t="s">
        <v>10</v>
      </c>
      <c r="D87" s="3" t="s">
        <v>14</v>
      </c>
      <c r="E87" s="3" t="s">
        <v>12</v>
      </c>
      <c r="F87" s="5" t="s">
        <v>13</v>
      </c>
      <c r="G87" s="25">
        <v>324</v>
      </c>
      <c r="H87" s="3">
        <f t="shared" si="13"/>
        <v>0</v>
      </c>
      <c r="I87" s="3">
        <f t="shared" si="14"/>
        <v>0</v>
      </c>
      <c r="J87" s="3">
        <f t="shared" si="15"/>
        <v>0</v>
      </c>
      <c r="K87" s="3">
        <f t="shared" si="16"/>
        <v>1</v>
      </c>
      <c r="L87" s="35">
        <f t="shared" si="17"/>
        <v>0</v>
      </c>
      <c r="M87" s="3">
        <v>84</v>
      </c>
      <c r="N87" s="35">
        <f t="shared" si="18"/>
        <v>415.98046678662394</v>
      </c>
      <c r="O87" s="35">
        <f t="shared" si="19"/>
        <v>0.77888272615981968</v>
      </c>
      <c r="P87" s="48">
        <f t="shared" si="20"/>
        <v>456.97861280060471</v>
      </c>
    </row>
    <row r="88" spans="2:16" x14ac:dyDescent="0.3">
      <c r="B88" s="9">
        <v>42423</v>
      </c>
      <c r="C88" s="3" t="s">
        <v>4</v>
      </c>
      <c r="D88" s="3" t="s">
        <v>11</v>
      </c>
      <c r="E88" s="3" t="s">
        <v>15</v>
      </c>
      <c r="F88" s="5" t="s">
        <v>13</v>
      </c>
      <c r="G88" s="25">
        <v>293</v>
      </c>
      <c r="H88" s="3">
        <f t="shared" si="13"/>
        <v>1</v>
      </c>
      <c r="I88" s="3">
        <f t="shared" si="14"/>
        <v>0</v>
      </c>
      <c r="J88" s="3">
        <f t="shared" si="15"/>
        <v>1</v>
      </c>
      <c r="K88" s="3">
        <f t="shared" si="16"/>
        <v>0</v>
      </c>
      <c r="L88" s="35">
        <f t="shared" si="17"/>
        <v>0</v>
      </c>
      <c r="M88" s="3">
        <v>85</v>
      </c>
      <c r="N88" s="35">
        <f t="shared" si="18"/>
        <v>371.72384763339375</v>
      </c>
      <c r="O88" s="35">
        <f t="shared" si="19"/>
        <v>0.78821953949257029</v>
      </c>
      <c r="P88" s="48">
        <f t="shared" si="20"/>
        <v>261.81317723922291</v>
      </c>
    </row>
    <row r="89" spans="2:16" x14ac:dyDescent="0.3">
      <c r="B89" s="9">
        <v>42424</v>
      </c>
      <c r="C89" s="3" t="s">
        <v>5</v>
      </c>
      <c r="D89" s="3" t="s">
        <v>11</v>
      </c>
      <c r="E89" s="3" t="s">
        <v>29</v>
      </c>
      <c r="F89" s="5" t="s">
        <v>13</v>
      </c>
      <c r="G89" s="25">
        <v>1245</v>
      </c>
      <c r="H89" s="3">
        <f t="shared" si="13"/>
        <v>0</v>
      </c>
      <c r="I89" s="3">
        <f t="shared" si="14"/>
        <v>0</v>
      </c>
      <c r="J89" s="3">
        <f t="shared" si="15"/>
        <v>1</v>
      </c>
      <c r="K89" s="3">
        <f t="shared" si="16"/>
        <v>0</v>
      </c>
      <c r="L89" s="35">
        <f t="shared" si="17"/>
        <v>0</v>
      </c>
      <c r="M89" s="3">
        <v>86</v>
      </c>
      <c r="N89" s="35">
        <f t="shared" si="18"/>
        <v>581.68425513994521</v>
      </c>
      <c r="O89" s="35">
        <f t="shared" si="19"/>
        <v>2.1403364265042213</v>
      </c>
      <c r="P89" s="48">
        <f t="shared" si="20"/>
        <v>870.6126417348903</v>
      </c>
    </row>
    <row r="90" spans="2:16" x14ac:dyDescent="0.3">
      <c r="B90" s="9">
        <v>42425</v>
      </c>
      <c r="C90" s="3" t="s">
        <v>6</v>
      </c>
      <c r="D90" s="3" t="s">
        <v>14</v>
      </c>
      <c r="E90" s="3" t="s">
        <v>15</v>
      </c>
      <c r="F90" s="5" t="s">
        <v>13</v>
      </c>
      <c r="G90" s="25">
        <v>193</v>
      </c>
      <c r="H90" s="3">
        <f t="shared" si="13"/>
        <v>1</v>
      </c>
      <c r="I90" s="3">
        <f t="shared" si="14"/>
        <v>0</v>
      </c>
      <c r="J90" s="3">
        <f t="shared" si="15"/>
        <v>0</v>
      </c>
      <c r="K90" s="3">
        <f t="shared" si="16"/>
        <v>1</v>
      </c>
      <c r="L90" s="35">
        <f t="shared" si="17"/>
        <v>0</v>
      </c>
      <c r="M90" s="3">
        <v>87</v>
      </c>
      <c r="N90" s="35">
        <f t="shared" si="18"/>
        <v>214.68492657261416</v>
      </c>
      <c r="O90" s="35">
        <f t="shared" si="19"/>
        <v>0.89899185322971642</v>
      </c>
      <c r="P90" s="48">
        <f t="shared" si="20"/>
        <v>218.7386124603874</v>
      </c>
    </row>
    <row r="91" spans="2:16" x14ac:dyDescent="0.3">
      <c r="B91" s="9">
        <v>42426</v>
      </c>
      <c r="C91" s="3" t="s">
        <v>7</v>
      </c>
      <c r="D91" s="3" t="s">
        <v>11</v>
      </c>
      <c r="E91" s="3" t="s">
        <v>12</v>
      </c>
      <c r="F91" s="5" t="s">
        <v>13</v>
      </c>
      <c r="G91" s="25">
        <v>634</v>
      </c>
      <c r="H91" s="3">
        <f t="shared" si="13"/>
        <v>0</v>
      </c>
      <c r="I91" s="3">
        <f t="shared" si="14"/>
        <v>0</v>
      </c>
      <c r="J91" s="3">
        <f t="shared" si="15"/>
        <v>1</v>
      </c>
      <c r="K91" s="3">
        <f t="shared" si="16"/>
        <v>0</v>
      </c>
      <c r="L91" s="35">
        <f t="shared" si="17"/>
        <v>0</v>
      </c>
      <c r="M91" s="3">
        <v>88</v>
      </c>
      <c r="N91" s="35">
        <f t="shared" si="18"/>
        <v>586.01668878621604</v>
      </c>
      <c r="O91" s="35">
        <f t="shared" si="19"/>
        <v>1.0818804517549989</v>
      </c>
      <c r="P91" s="48">
        <f t="shared" si="20"/>
        <v>477.74878972666983</v>
      </c>
    </row>
    <row r="92" spans="2:16" x14ac:dyDescent="0.3">
      <c r="B92" s="9">
        <v>42427</v>
      </c>
      <c r="C92" s="3" t="s">
        <v>8</v>
      </c>
      <c r="D92" s="3" t="s">
        <v>11</v>
      </c>
      <c r="E92" s="3" t="s">
        <v>15</v>
      </c>
      <c r="F92" s="5" t="s">
        <v>13</v>
      </c>
      <c r="G92" s="25">
        <v>393</v>
      </c>
      <c r="H92" s="3">
        <f t="shared" si="13"/>
        <v>1</v>
      </c>
      <c r="I92" s="3">
        <f t="shared" si="14"/>
        <v>0</v>
      </c>
      <c r="J92" s="3">
        <f t="shared" si="15"/>
        <v>1</v>
      </c>
      <c r="K92" s="3">
        <f t="shared" si="16"/>
        <v>0</v>
      </c>
      <c r="L92" s="35">
        <f t="shared" si="17"/>
        <v>0</v>
      </c>
      <c r="M92" s="3">
        <v>89</v>
      </c>
      <c r="N92" s="35">
        <f t="shared" si="18"/>
        <v>380.38871492593546</v>
      </c>
      <c r="O92" s="35">
        <f t="shared" si="19"/>
        <v>1.0331536782749196</v>
      </c>
      <c r="P92" s="48">
        <f t="shared" si="20"/>
        <v>388.69536519631799</v>
      </c>
    </row>
    <row r="93" spans="2:16" x14ac:dyDescent="0.3">
      <c r="B93" s="9">
        <v>42428</v>
      </c>
      <c r="C93" s="3" t="s">
        <v>9</v>
      </c>
      <c r="D93" s="3" t="s">
        <v>11</v>
      </c>
      <c r="E93" s="3" t="s">
        <v>15</v>
      </c>
      <c r="F93" s="5" t="s">
        <v>13</v>
      </c>
      <c r="G93" s="25">
        <v>426</v>
      </c>
      <c r="H93" s="3">
        <f t="shared" si="13"/>
        <v>1</v>
      </c>
      <c r="I93" s="3">
        <f t="shared" si="14"/>
        <v>0</v>
      </c>
      <c r="J93" s="3">
        <f t="shared" si="15"/>
        <v>1</v>
      </c>
      <c r="K93" s="3">
        <f t="shared" si="16"/>
        <v>0</v>
      </c>
      <c r="L93" s="35">
        <f t="shared" si="17"/>
        <v>0</v>
      </c>
      <c r="M93" s="3">
        <v>90</v>
      </c>
      <c r="N93" s="35">
        <f t="shared" si="18"/>
        <v>382.55493174907087</v>
      </c>
      <c r="O93" s="35">
        <f t="shared" si="19"/>
        <v>1.1135655683545755</v>
      </c>
      <c r="P93" s="48">
        <f t="shared" si="20"/>
        <v>360.8455101432728</v>
      </c>
    </row>
    <row r="94" spans="2:16" x14ac:dyDescent="0.3">
      <c r="B94" s="9">
        <v>42429</v>
      </c>
      <c r="C94" s="3" t="s">
        <v>10</v>
      </c>
      <c r="D94" s="3" t="s">
        <v>14</v>
      </c>
      <c r="E94" s="3" t="s">
        <v>15</v>
      </c>
      <c r="F94" s="5" t="s">
        <v>13</v>
      </c>
      <c r="G94" s="25">
        <v>196</v>
      </c>
      <c r="H94" s="3">
        <f t="shared" si="13"/>
        <v>1</v>
      </c>
      <c r="I94" s="3">
        <f t="shared" si="14"/>
        <v>0</v>
      </c>
      <c r="J94" s="3">
        <f t="shared" si="15"/>
        <v>0</v>
      </c>
      <c r="K94" s="3">
        <f t="shared" si="16"/>
        <v>1</v>
      </c>
      <c r="L94" s="35">
        <f t="shared" si="17"/>
        <v>0</v>
      </c>
      <c r="M94" s="3">
        <v>91</v>
      </c>
      <c r="N94" s="35">
        <f t="shared" si="18"/>
        <v>223.34979386515585</v>
      </c>
      <c r="O94" s="35">
        <f t="shared" si="19"/>
        <v>0.87754726166585195</v>
      </c>
      <c r="P94" s="48">
        <f t="shared" si="20"/>
        <v>245.36267233469511</v>
      </c>
    </row>
    <row r="95" spans="2:16" x14ac:dyDescent="0.3">
      <c r="B95" s="9">
        <v>42430</v>
      </c>
      <c r="C95" s="3" t="s">
        <v>4</v>
      </c>
      <c r="D95" s="3" t="s">
        <v>11</v>
      </c>
      <c r="E95" s="3" t="s">
        <v>12</v>
      </c>
      <c r="F95" s="5" t="s">
        <v>13</v>
      </c>
      <c r="G95" s="25">
        <v>114</v>
      </c>
      <c r="H95" s="3">
        <f t="shared" si="13"/>
        <v>0</v>
      </c>
      <c r="I95" s="3">
        <f t="shared" si="14"/>
        <v>0</v>
      </c>
      <c r="J95" s="3">
        <f t="shared" si="15"/>
        <v>1</v>
      </c>
      <c r="K95" s="3">
        <f t="shared" si="16"/>
        <v>0</v>
      </c>
      <c r="L95" s="35">
        <f t="shared" si="17"/>
        <v>0</v>
      </c>
      <c r="M95" s="3">
        <v>92</v>
      </c>
      <c r="N95" s="35">
        <f t="shared" si="18"/>
        <v>594.68155607875769</v>
      </c>
      <c r="O95" s="35">
        <f t="shared" si="19"/>
        <v>0.19169923606122771</v>
      </c>
      <c r="P95" s="48">
        <f t="shared" si="20"/>
        <v>418.84713244466536</v>
      </c>
    </row>
    <row r="96" spans="2:16" x14ac:dyDescent="0.3">
      <c r="B96" s="9">
        <v>42431</v>
      </c>
      <c r="C96" s="3" t="s">
        <v>5</v>
      </c>
      <c r="D96" s="3" t="s">
        <v>14</v>
      </c>
      <c r="E96" s="3" t="s">
        <v>15</v>
      </c>
      <c r="F96" s="5" t="s">
        <v>13</v>
      </c>
      <c r="G96" s="25">
        <v>138</v>
      </c>
      <c r="H96" s="3">
        <f t="shared" si="13"/>
        <v>1</v>
      </c>
      <c r="I96" s="3">
        <f t="shared" si="14"/>
        <v>0</v>
      </c>
      <c r="J96" s="3">
        <f t="shared" si="15"/>
        <v>0</v>
      </c>
      <c r="K96" s="3">
        <f t="shared" si="16"/>
        <v>1</v>
      </c>
      <c r="L96" s="35">
        <f t="shared" si="17"/>
        <v>0</v>
      </c>
      <c r="M96" s="3">
        <v>93</v>
      </c>
      <c r="N96" s="35">
        <f t="shared" si="18"/>
        <v>227.68222751142667</v>
      </c>
      <c r="O96" s="35">
        <f t="shared" si="19"/>
        <v>0.60610791412375042</v>
      </c>
      <c r="P96" s="48">
        <f t="shared" si="20"/>
        <v>340.77426682645518</v>
      </c>
    </row>
    <row r="97" spans="2:16" x14ac:dyDescent="0.3">
      <c r="B97" s="9">
        <v>42432</v>
      </c>
      <c r="C97" s="3" t="s">
        <v>6</v>
      </c>
      <c r="D97" s="3" t="s">
        <v>11</v>
      </c>
      <c r="E97" s="3" t="s">
        <v>15</v>
      </c>
      <c r="F97" s="5" t="s">
        <v>13</v>
      </c>
      <c r="G97" s="25">
        <v>93</v>
      </c>
      <c r="H97" s="3">
        <f t="shared" si="13"/>
        <v>1</v>
      </c>
      <c r="I97" s="3">
        <f t="shared" si="14"/>
        <v>0</v>
      </c>
      <c r="J97" s="3">
        <f t="shared" si="15"/>
        <v>1</v>
      </c>
      <c r="K97" s="3">
        <f t="shared" si="16"/>
        <v>0</v>
      </c>
      <c r="L97" s="35">
        <f t="shared" si="17"/>
        <v>0</v>
      </c>
      <c r="M97" s="3">
        <v>94</v>
      </c>
      <c r="N97" s="35">
        <f t="shared" si="18"/>
        <v>391.21979904161253</v>
      </c>
      <c r="O97" s="35">
        <f t="shared" si="19"/>
        <v>0.2377180301912786</v>
      </c>
      <c r="P97" s="48">
        <f t="shared" si="20"/>
        <v>398.60682058854013</v>
      </c>
    </row>
    <row r="98" spans="2:16" x14ac:dyDescent="0.3">
      <c r="B98" s="9">
        <v>42433</v>
      </c>
      <c r="C98" s="3" t="s">
        <v>7</v>
      </c>
      <c r="D98" s="3" t="s">
        <v>11</v>
      </c>
      <c r="E98" s="3" t="s">
        <v>16</v>
      </c>
      <c r="F98" s="5" t="s">
        <v>13</v>
      </c>
      <c r="G98" s="25">
        <v>234</v>
      </c>
      <c r="H98" s="3">
        <f t="shared" si="13"/>
        <v>0</v>
      </c>
      <c r="I98" s="3">
        <f t="shared" si="14"/>
        <v>1</v>
      </c>
      <c r="J98" s="3">
        <f t="shared" si="15"/>
        <v>1</v>
      </c>
      <c r="K98" s="3">
        <f t="shared" si="16"/>
        <v>0</v>
      </c>
      <c r="L98" s="35">
        <f t="shared" si="17"/>
        <v>0</v>
      </c>
      <c r="M98" s="3">
        <v>95</v>
      </c>
      <c r="N98" s="35">
        <f t="shared" si="18"/>
        <v>525.73630804622849</v>
      </c>
      <c r="O98" s="35">
        <f t="shared" si="19"/>
        <v>0.44509005069405283</v>
      </c>
      <c r="P98" s="48">
        <f t="shared" si="20"/>
        <v>428.60534467830195</v>
      </c>
    </row>
    <row r="99" spans="2:16" x14ac:dyDescent="0.3">
      <c r="B99" s="9">
        <v>42434</v>
      </c>
      <c r="C99" s="3" t="s">
        <v>8</v>
      </c>
      <c r="D99" s="3" t="s">
        <v>11</v>
      </c>
      <c r="E99" s="3" t="s">
        <v>12</v>
      </c>
      <c r="F99" s="5" t="s">
        <v>13</v>
      </c>
      <c r="G99" s="25">
        <v>138</v>
      </c>
      <c r="H99" s="3">
        <f t="shared" si="13"/>
        <v>0</v>
      </c>
      <c r="I99" s="3">
        <f t="shared" si="14"/>
        <v>0</v>
      </c>
      <c r="J99" s="3">
        <f t="shared" si="15"/>
        <v>1</v>
      </c>
      <c r="K99" s="3">
        <f t="shared" si="16"/>
        <v>0</v>
      </c>
      <c r="L99" s="35">
        <f t="shared" si="17"/>
        <v>0</v>
      </c>
      <c r="M99" s="3">
        <v>96</v>
      </c>
      <c r="N99" s="35">
        <f t="shared" si="18"/>
        <v>603.34642337129935</v>
      </c>
      <c r="O99" s="35">
        <f t="shared" si="19"/>
        <v>0.22872431932040277</v>
      </c>
      <c r="P99" s="48">
        <f t="shared" si="20"/>
        <v>616.52186084926802</v>
      </c>
    </row>
    <row r="100" spans="2:16" x14ac:dyDescent="0.3">
      <c r="B100" s="9">
        <v>42435</v>
      </c>
      <c r="C100" s="3" t="s">
        <v>9</v>
      </c>
      <c r="D100" s="3" t="s">
        <v>11</v>
      </c>
      <c r="E100" s="3" t="s">
        <v>12</v>
      </c>
      <c r="F100" s="5" t="s">
        <v>13</v>
      </c>
      <c r="G100" s="25">
        <v>231</v>
      </c>
      <c r="H100" s="3">
        <f t="shared" ref="H100:H140" si="21">IF(E100=$H$3,1,0)</f>
        <v>0</v>
      </c>
      <c r="I100" s="3">
        <f t="shared" ref="I100:I140" si="22">IF(E100=$I$3,1,0)</f>
        <v>0</v>
      </c>
      <c r="J100" s="3">
        <f t="shared" ref="J100:J140" si="23">IF(D100=J$3,1,0)</f>
        <v>1</v>
      </c>
      <c r="K100" s="3">
        <f t="shared" ref="K100:K140" si="24">IF(D100=K$3,1,0)</f>
        <v>0</v>
      </c>
      <c r="L100" s="35">
        <f t="shared" ref="L100:L140" si="25">IF(F100="Yes",1,0)</f>
        <v>0</v>
      </c>
      <c r="M100" s="3">
        <v>97</v>
      </c>
      <c r="N100" s="35">
        <f t="shared" si="18"/>
        <v>605.51264019443477</v>
      </c>
      <c r="O100" s="35">
        <f t="shared" si="19"/>
        <v>0.38149492622618764</v>
      </c>
      <c r="P100" s="48">
        <f t="shared" si="20"/>
        <v>571.15070128668253</v>
      </c>
    </row>
    <row r="101" spans="2:16" x14ac:dyDescent="0.3">
      <c r="B101" s="9">
        <v>42436</v>
      </c>
      <c r="C101" s="3" t="s">
        <v>10</v>
      </c>
      <c r="D101" s="3" t="s">
        <v>14</v>
      </c>
      <c r="E101" s="3" t="s">
        <v>15</v>
      </c>
      <c r="F101" s="5" t="s">
        <v>13</v>
      </c>
      <c r="G101" s="25">
        <v>130</v>
      </c>
      <c r="H101" s="3">
        <f t="shared" si="21"/>
        <v>1</v>
      </c>
      <c r="I101" s="3">
        <f t="shared" si="22"/>
        <v>0</v>
      </c>
      <c r="J101" s="3">
        <f t="shared" si="23"/>
        <v>0</v>
      </c>
      <c r="K101" s="3">
        <f t="shared" si="24"/>
        <v>1</v>
      </c>
      <c r="L101" s="35">
        <f t="shared" si="25"/>
        <v>0</v>
      </c>
      <c r="M101" s="3">
        <v>98</v>
      </c>
      <c r="N101" s="35">
        <f t="shared" si="18"/>
        <v>238.51331162710375</v>
      </c>
      <c r="O101" s="35">
        <f t="shared" si="19"/>
        <v>0.54504295426179183</v>
      </c>
      <c r="P101" s="48">
        <f t="shared" si="20"/>
        <v>262.02067400857345</v>
      </c>
    </row>
    <row r="102" spans="2:16" x14ac:dyDescent="0.3">
      <c r="B102" s="9">
        <v>42437</v>
      </c>
      <c r="C102" s="3" t="s">
        <v>4</v>
      </c>
      <c r="D102" s="3" t="s">
        <v>26</v>
      </c>
      <c r="E102" s="3" t="s">
        <v>15</v>
      </c>
      <c r="F102" s="5" t="s">
        <v>13</v>
      </c>
      <c r="G102" s="25">
        <v>157</v>
      </c>
      <c r="H102" s="3">
        <f t="shared" si="21"/>
        <v>1</v>
      </c>
      <c r="I102" s="3">
        <f t="shared" si="22"/>
        <v>0</v>
      </c>
      <c r="J102" s="3">
        <f t="shared" si="23"/>
        <v>0</v>
      </c>
      <c r="K102" s="3">
        <f t="shared" si="24"/>
        <v>0</v>
      </c>
      <c r="L102" s="35">
        <f t="shared" si="25"/>
        <v>0</v>
      </c>
      <c r="M102" s="3">
        <v>99</v>
      </c>
      <c r="N102" s="35">
        <f t="shared" si="18"/>
        <v>102.56455724150115</v>
      </c>
      <c r="O102" s="35">
        <f t="shared" si="19"/>
        <v>1.5307432140551609</v>
      </c>
      <c r="P102" s="48">
        <f t="shared" si="20"/>
        <v>72.238444680080434</v>
      </c>
    </row>
    <row r="103" spans="2:16" x14ac:dyDescent="0.3">
      <c r="B103" s="9">
        <v>42438</v>
      </c>
      <c r="C103" s="3" t="s">
        <v>5</v>
      </c>
      <c r="D103" s="3" t="s">
        <v>26</v>
      </c>
      <c r="E103" s="3" t="s">
        <v>12</v>
      </c>
      <c r="F103" s="5" t="s">
        <v>13</v>
      </c>
      <c r="G103" s="25">
        <v>236</v>
      </c>
      <c r="H103" s="3">
        <f t="shared" si="21"/>
        <v>0</v>
      </c>
      <c r="I103" s="3">
        <f t="shared" si="22"/>
        <v>0</v>
      </c>
      <c r="J103" s="3">
        <f t="shared" si="23"/>
        <v>0</v>
      </c>
      <c r="K103" s="3">
        <f t="shared" si="24"/>
        <v>0</v>
      </c>
      <c r="L103" s="35">
        <f t="shared" si="25"/>
        <v>0</v>
      </c>
      <c r="M103" s="3">
        <v>100</v>
      </c>
      <c r="N103" s="35">
        <f t="shared" si="18"/>
        <v>312.52496474805258</v>
      </c>
      <c r="O103" s="35">
        <f t="shared" si="19"/>
        <v>0.75513967401054016</v>
      </c>
      <c r="P103" s="48">
        <f t="shared" si="20"/>
        <v>467.75924010861331</v>
      </c>
    </row>
    <row r="104" spans="2:16" x14ac:dyDescent="0.3">
      <c r="B104" s="9">
        <v>42439</v>
      </c>
      <c r="C104" s="3" t="s">
        <v>6</v>
      </c>
      <c r="D104" s="3" t="s">
        <v>31</v>
      </c>
      <c r="E104" s="3" t="s">
        <v>15</v>
      </c>
      <c r="F104" s="5" t="s">
        <v>13</v>
      </c>
      <c r="G104" s="25">
        <v>76</v>
      </c>
      <c r="H104" s="3">
        <f t="shared" si="21"/>
        <v>1</v>
      </c>
      <c r="I104" s="3">
        <f t="shared" si="22"/>
        <v>0</v>
      </c>
      <c r="J104" s="3">
        <f t="shared" si="23"/>
        <v>0</v>
      </c>
      <c r="K104" s="3">
        <f t="shared" si="24"/>
        <v>0</v>
      </c>
      <c r="L104" s="35">
        <f t="shared" si="25"/>
        <v>0</v>
      </c>
      <c r="M104" s="3">
        <v>101</v>
      </c>
      <c r="N104" s="35">
        <f t="shared" si="18"/>
        <v>106.89699088777198</v>
      </c>
      <c r="O104" s="35">
        <f t="shared" si="19"/>
        <v>0.71096482107518044</v>
      </c>
      <c r="P104" s="48">
        <f t="shared" si="20"/>
        <v>108.91542241123815</v>
      </c>
    </row>
    <row r="105" spans="2:16" x14ac:dyDescent="0.3">
      <c r="B105" s="9">
        <v>42440</v>
      </c>
      <c r="C105" s="3" t="s">
        <v>7</v>
      </c>
      <c r="D105" s="3" t="s">
        <v>14</v>
      </c>
      <c r="E105" s="3" t="s">
        <v>15</v>
      </c>
      <c r="F105" s="5" t="s">
        <v>13</v>
      </c>
      <c r="G105" s="25">
        <v>215</v>
      </c>
      <c r="H105" s="3">
        <f t="shared" si="21"/>
        <v>1</v>
      </c>
      <c r="I105" s="3">
        <f t="shared" si="22"/>
        <v>0</v>
      </c>
      <c r="J105" s="3">
        <f t="shared" si="23"/>
        <v>0</v>
      </c>
      <c r="K105" s="3">
        <f t="shared" si="24"/>
        <v>1</v>
      </c>
      <c r="L105" s="35">
        <f t="shared" si="25"/>
        <v>0</v>
      </c>
      <c r="M105" s="3">
        <v>102</v>
      </c>
      <c r="N105" s="35">
        <f t="shared" si="18"/>
        <v>247.1781789196454</v>
      </c>
      <c r="O105" s="35">
        <f t="shared" si="19"/>
        <v>0.8698178817390424</v>
      </c>
      <c r="P105" s="48">
        <f t="shared" si="20"/>
        <v>201.51145536536546</v>
      </c>
    </row>
    <row r="106" spans="2:16" x14ac:dyDescent="0.3">
      <c r="B106" s="9">
        <v>42441</v>
      </c>
      <c r="C106" s="3" t="s">
        <v>8</v>
      </c>
      <c r="D106" s="3" t="s">
        <v>26</v>
      </c>
      <c r="E106" s="3" t="s">
        <v>15</v>
      </c>
      <c r="F106" s="5" t="s">
        <v>13</v>
      </c>
      <c r="G106" s="25">
        <v>157</v>
      </c>
      <c r="H106" s="3">
        <f t="shared" si="21"/>
        <v>1</v>
      </c>
      <c r="I106" s="3">
        <f t="shared" si="22"/>
        <v>0</v>
      </c>
      <c r="J106" s="3">
        <f t="shared" si="23"/>
        <v>0</v>
      </c>
      <c r="K106" s="3">
        <f t="shared" si="24"/>
        <v>0</v>
      </c>
      <c r="L106" s="35">
        <f t="shared" si="25"/>
        <v>0</v>
      </c>
      <c r="M106" s="3">
        <v>103</v>
      </c>
      <c r="N106" s="35">
        <f t="shared" si="18"/>
        <v>111.22942453404281</v>
      </c>
      <c r="O106" s="35">
        <f t="shared" si="19"/>
        <v>1.4114970086170739</v>
      </c>
      <c r="P106" s="48">
        <f t="shared" si="20"/>
        <v>113.65837127490524</v>
      </c>
    </row>
    <row r="107" spans="2:16" x14ac:dyDescent="0.3">
      <c r="B107" s="9">
        <v>42442</v>
      </c>
      <c r="C107" s="3" t="s">
        <v>9</v>
      </c>
      <c r="D107" s="3" t="s">
        <v>26</v>
      </c>
      <c r="E107" s="3" t="s">
        <v>12</v>
      </c>
      <c r="F107" s="5" t="s">
        <v>13</v>
      </c>
      <c r="G107" s="25">
        <v>268</v>
      </c>
      <c r="H107" s="3">
        <f t="shared" si="21"/>
        <v>0</v>
      </c>
      <c r="I107" s="3">
        <f t="shared" si="22"/>
        <v>0</v>
      </c>
      <c r="J107" s="3">
        <f t="shared" si="23"/>
        <v>0</v>
      </c>
      <c r="K107" s="3">
        <f t="shared" si="24"/>
        <v>0</v>
      </c>
      <c r="L107" s="35">
        <f t="shared" si="25"/>
        <v>0</v>
      </c>
      <c r="M107" s="3">
        <v>104</v>
      </c>
      <c r="N107" s="35">
        <f t="shared" si="18"/>
        <v>321.18983204059424</v>
      </c>
      <c r="O107" s="35">
        <f t="shared" si="19"/>
        <v>0.83439752216729035</v>
      </c>
      <c r="P107" s="48">
        <f t="shared" si="20"/>
        <v>302.96278828668329</v>
      </c>
    </row>
    <row r="108" spans="2:16" x14ac:dyDescent="0.3">
      <c r="B108" s="9">
        <v>42443</v>
      </c>
      <c r="C108" s="3" t="s">
        <v>10</v>
      </c>
      <c r="D108" s="3" t="s">
        <v>11</v>
      </c>
      <c r="E108" s="3" t="s">
        <v>16</v>
      </c>
      <c r="F108" s="5" t="s">
        <v>13</v>
      </c>
      <c r="G108" s="25">
        <v>522</v>
      </c>
      <c r="H108" s="3">
        <f t="shared" si="21"/>
        <v>0</v>
      </c>
      <c r="I108" s="3">
        <f t="shared" si="22"/>
        <v>1</v>
      </c>
      <c r="J108" s="3">
        <f t="shared" si="23"/>
        <v>1</v>
      </c>
      <c r="K108" s="3">
        <f t="shared" si="24"/>
        <v>0</v>
      </c>
      <c r="L108" s="35">
        <f t="shared" si="25"/>
        <v>0</v>
      </c>
      <c r="M108" s="3">
        <v>105</v>
      </c>
      <c r="N108" s="35">
        <f t="shared" si="18"/>
        <v>547.39847627758263</v>
      </c>
      <c r="O108" s="35">
        <f t="shared" si="19"/>
        <v>0.95360148524654786</v>
      </c>
      <c r="P108" s="48">
        <f t="shared" si="20"/>
        <v>601.34890051654247</v>
      </c>
    </row>
    <row r="109" spans="2:16" x14ac:dyDescent="0.3">
      <c r="B109" s="9">
        <v>42444</v>
      </c>
      <c r="C109" s="3" t="s">
        <v>4</v>
      </c>
      <c r="D109" s="3" t="s">
        <v>14</v>
      </c>
      <c r="E109" s="3" t="s">
        <v>16</v>
      </c>
      <c r="F109" s="5" t="s">
        <v>13</v>
      </c>
      <c r="G109" s="25">
        <v>268</v>
      </c>
      <c r="H109" s="3">
        <f t="shared" si="21"/>
        <v>0</v>
      </c>
      <c r="I109" s="3">
        <f t="shared" si="22"/>
        <v>1</v>
      </c>
      <c r="J109" s="3">
        <f t="shared" si="23"/>
        <v>0</v>
      </c>
      <c r="K109" s="3">
        <f t="shared" si="24"/>
        <v>1</v>
      </c>
      <c r="L109" s="35">
        <f t="shared" si="25"/>
        <v>0</v>
      </c>
      <c r="M109" s="3">
        <v>106</v>
      </c>
      <c r="N109" s="35">
        <f t="shared" si="18"/>
        <v>388.19333839366766</v>
      </c>
      <c r="O109" s="35">
        <f t="shared" si="19"/>
        <v>0.69037763787749662</v>
      </c>
      <c r="P109" s="48">
        <f t="shared" si="20"/>
        <v>273.41299718865997</v>
      </c>
    </row>
    <row r="110" spans="2:16" x14ac:dyDescent="0.3">
      <c r="B110" s="9">
        <v>42445</v>
      </c>
      <c r="C110" s="3" t="s">
        <v>5</v>
      </c>
      <c r="D110" s="3" t="s">
        <v>14</v>
      </c>
      <c r="E110" s="3" t="s">
        <v>15</v>
      </c>
      <c r="F110" s="5" t="s">
        <v>13</v>
      </c>
      <c r="G110" s="25">
        <v>409</v>
      </c>
      <c r="H110" s="3">
        <f t="shared" si="21"/>
        <v>1</v>
      </c>
      <c r="I110" s="3">
        <f t="shared" si="22"/>
        <v>0</v>
      </c>
      <c r="J110" s="3">
        <f t="shared" si="23"/>
        <v>0</v>
      </c>
      <c r="K110" s="3">
        <f t="shared" si="24"/>
        <v>1</v>
      </c>
      <c r="L110" s="35">
        <f t="shared" si="25"/>
        <v>0</v>
      </c>
      <c r="M110" s="3">
        <v>107</v>
      </c>
      <c r="N110" s="35">
        <f t="shared" si="18"/>
        <v>258.00926303532253</v>
      </c>
      <c r="O110" s="35">
        <f t="shared" si="19"/>
        <v>1.585214403499948</v>
      </c>
      <c r="P110" s="48">
        <f t="shared" si="20"/>
        <v>386.16504417712389</v>
      </c>
    </row>
    <row r="111" spans="2:16" x14ac:dyDescent="0.3">
      <c r="B111" s="9">
        <v>42446</v>
      </c>
      <c r="C111" s="3" t="s">
        <v>6</v>
      </c>
      <c r="D111" s="3" t="s">
        <v>14</v>
      </c>
      <c r="E111" s="3" t="s">
        <v>29</v>
      </c>
      <c r="F111" s="5" t="s">
        <v>30</v>
      </c>
      <c r="G111" s="25">
        <v>529</v>
      </c>
      <c r="H111" s="3">
        <f t="shared" si="21"/>
        <v>0</v>
      </c>
      <c r="I111" s="3">
        <f t="shared" si="22"/>
        <v>0</v>
      </c>
      <c r="J111" s="3">
        <f t="shared" si="23"/>
        <v>0</v>
      </c>
      <c r="K111" s="3">
        <f t="shared" si="24"/>
        <v>1</v>
      </c>
      <c r="L111" s="35">
        <f t="shared" si="25"/>
        <v>1</v>
      </c>
      <c r="M111" s="3">
        <v>108</v>
      </c>
      <c r="N111" s="35">
        <f t="shared" si="18"/>
        <v>680.19045471480172</v>
      </c>
      <c r="O111" s="35">
        <f t="shared" si="19"/>
        <v>0.77772335135429882</v>
      </c>
      <c r="P111" s="48">
        <f t="shared" si="20"/>
        <v>693.03382705255569</v>
      </c>
    </row>
    <row r="112" spans="2:16" x14ac:dyDescent="0.3">
      <c r="B112" s="9">
        <v>42447</v>
      </c>
      <c r="C112" s="3" t="s">
        <v>7</v>
      </c>
      <c r="D112" s="3" t="s">
        <v>14</v>
      </c>
      <c r="E112" s="3" t="s">
        <v>15</v>
      </c>
      <c r="F112" s="5" t="s">
        <v>13</v>
      </c>
      <c r="G112" s="25">
        <v>222</v>
      </c>
      <c r="H112" s="3">
        <f t="shared" si="21"/>
        <v>1</v>
      </c>
      <c r="I112" s="3">
        <f t="shared" si="22"/>
        <v>0</v>
      </c>
      <c r="J112" s="3">
        <f t="shared" si="23"/>
        <v>0</v>
      </c>
      <c r="K112" s="3">
        <f t="shared" si="24"/>
        <v>1</v>
      </c>
      <c r="L112" s="35">
        <f t="shared" si="25"/>
        <v>0</v>
      </c>
      <c r="M112" s="3">
        <v>109</v>
      </c>
      <c r="N112" s="35">
        <f t="shared" si="18"/>
        <v>262.34169668159336</v>
      </c>
      <c r="O112" s="35">
        <f t="shared" si="19"/>
        <v>0.84622461014820505</v>
      </c>
      <c r="P112" s="48">
        <f t="shared" si="20"/>
        <v>213.8734791735514</v>
      </c>
    </row>
    <row r="113" spans="2:16" x14ac:dyDescent="0.3">
      <c r="B113" s="9">
        <v>42448</v>
      </c>
      <c r="C113" s="3" t="s">
        <v>8</v>
      </c>
      <c r="D113" s="3" t="s">
        <v>11</v>
      </c>
      <c r="E113" s="3" t="s">
        <v>12</v>
      </c>
      <c r="F113" s="5" t="s">
        <v>13</v>
      </c>
      <c r="G113" s="25">
        <v>840</v>
      </c>
      <c r="H113" s="3">
        <f t="shared" si="21"/>
        <v>0</v>
      </c>
      <c r="I113" s="3">
        <f t="shared" si="22"/>
        <v>0</v>
      </c>
      <c r="J113" s="3">
        <f t="shared" si="23"/>
        <v>1</v>
      </c>
      <c r="K113" s="3">
        <f t="shared" si="24"/>
        <v>0</v>
      </c>
      <c r="L113" s="35">
        <f t="shared" si="25"/>
        <v>0</v>
      </c>
      <c r="M113" s="3">
        <v>110</v>
      </c>
      <c r="N113" s="35">
        <f t="shared" si="18"/>
        <v>633.67345889519515</v>
      </c>
      <c r="O113" s="35">
        <f t="shared" si="19"/>
        <v>1.3256038866840558</v>
      </c>
      <c r="P113" s="48">
        <f t="shared" si="20"/>
        <v>647.51115597222565</v>
      </c>
    </row>
    <row r="114" spans="2:16" x14ac:dyDescent="0.3">
      <c r="B114" s="9">
        <v>42449</v>
      </c>
      <c r="C114" s="3" t="s">
        <v>9</v>
      </c>
      <c r="D114" s="3" t="s">
        <v>11</v>
      </c>
      <c r="E114" s="3" t="s">
        <v>12</v>
      </c>
      <c r="F114" s="5" t="s">
        <v>13</v>
      </c>
      <c r="G114" s="25">
        <v>911</v>
      </c>
      <c r="H114" s="3">
        <f t="shared" si="21"/>
        <v>0</v>
      </c>
      <c r="I114" s="3">
        <f t="shared" si="22"/>
        <v>0</v>
      </c>
      <c r="J114" s="3">
        <f t="shared" si="23"/>
        <v>1</v>
      </c>
      <c r="K114" s="3">
        <f t="shared" si="24"/>
        <v>0</v>
      </c>
      <c r="L114" s="35">
        <f t="shared" si="25"/>
        <v>0</v>
      </c>
      <c r="M114" s="3">
        <v>111</v>
      </c>
      <c r="N114" s="35">
        <f t="shared" si="18"/>
        <v>635.83967571833057</v>
      </c>
      <c r="O114" s="35">
        <f t="shared" si="19"/>
        <v>1.4327511081638797</v>
      </c>
      <c r="P114" s="48">
        <f t="shared" si="20"/>
        <v>599.75672279245521</v>
      </c>
    </row>
    <row r="115" spans="2:16" x14ac:dyDescent="0.3">
      <c r="B115" s="9">
        <v>42450</v>
      </c>
      <c r="C115" s="3" t="s">
        <v>10</v>
      </c>
      <c r="D115" s="3" t="s">
        <v>11</v>
      </c>
      <c r="E115" s="3" t="s">
        <v>16</v>
      </c>
      <c r="F115" s="5" t="s">
        <v>13</v>
      </c>
      <c r="G115" s="25">
        <v>545</v>
      </c>
      <c r="H115" s="3">
        <f t="shared" si="21"/>
        <v>0</v>
      </c>
      <c r="I115" s="3">
        <f t="shared" si="22"/>
        <v>1</v>
      </c>
      <c r="J115" s="3">
        <f t="shared" si="23"/>
        <v>1</v>
      </c>
      <c r="K115" s="3">
        <f t="shared" si="24"/>
        <v>0</v>
      </c>
      <c r="L115" s="35">
        <f t="shared" si="25"/>
        <v>0</v>
      </c>
      <c r="M115" s="3">
        <v>112</v>
      </c>
      <c r="N115" s="35">
        <f t="shared" si="18"/>
        <v>562.56199403953053</v>
      </c>
      <c r="O115" s="35">
        <f t="shared" si="19"/>
        <v>0.96878211783660506</v>
      </c>
      <c r="P115" s="48">
        <f t="shared" si="20"/>
        <v>618.00690219042087</v>
      </c>
    </row>
    <row r="116" spans="2:16" x14ac:dyDescent="0.3">
      <c r="B116" s="9">
        <v>42451</v>
      </c>
      <c r="C116" s="3" t="s">
        <v>4</v>
      </c>
      <c r="D116" s="3" t="s">
        <v>11</v>
      </c>
      <c r="E116" s="3" t="s">
        <v>12</v>
      </c>
      <c r="F116" s="5" t="s">
        <v>13</v>
      </c>
      <c r="G116" s="25">
        <v>631</v>
      </c>
      <c r="H116" s="3">
        <f t="shared" si="21"/>
        <v>0</v>
      </c>
      <c r="I116" s="3">
        <f t="shared" si="22"/>
        <v>0</v>
      </c>
      <c r="J116" s="3">
        <f t="shared" si="23"/>
        <v>1</v>
      </c>
      <c r="K116" s="3">
        <f t="shared" si="24"/>
        <v>0</v>
      </c>
      <c r="L116" s="35">
        <f t="shared" si="25"/>
        <v>0</v>
      </c>
      <c r="M116" s="3">
        <v>113</v>
      </c>
      <c r="N116" s="35">
        <f t="shared" si="18"/>
        <v>640.1721093646014</v>
      </c>
      <c r="O116" s="35">
        <f t="shared" si="19"/>
        <v>0.98567243210000965</v>
      </c>
      <c r="P116" s="48">
        <f t="shared" si="20"/>
        <v>450.88711687386711</v>
      </c>
    </row>
    <row r="117" spans="2:16" x14ac:dyDescent="0.3">
      <c r="B117" s="9">
        <v>42452</v>
      </c>
      <c r="C117" s="3" t="s">
        <v>5</v>
      </c>
      <c r="D117" s="3" t="s">
        <v>14</v>
      </c>
      <c r="E117" s="3" t="s">
        <v>15</v>
      </c>
      <c r="F117" s="5" t="s">
        <v>13</v>
      </c>
      <c r="G117" s="25">
        <v>425</v>
      </c>
      <c r="H117" s="3">
        <f t="shared" si="21"/>
        <v>1</v>
      </c>
      <c r="I117" s="3">
        <f t="shared" si="22"/>
        <v>0</v>
      </c>
      <c r="J117" s="3">
        <f t="shared" si="23"/>
        <v>0</v>
      </c>
      <c r="K117" s="3">
        <f t="shared" si="24"/>
        <v>1</v>
      </c>
      <c r="L117" s="35">
        <f t="shared" si="25"/>
        <v>0</v>
      </c>
      <c r="M117" s="3">
        <v>114</v>
      </c>
      <c r="N117" s="35">
        <f t="shared" si="18"/>
        <v>273.17278079727043</v>
      </c>
      <c r="O117" s="35">
        <f t="shared" si="19"/>
        <v>1.55579190122681</v>
      </c>
      <c r="P117" s="48">
        <f t="shared" si="20"/>
        <v>408.86043285245819</v>
      </c>
    </row>
    <row r="118" spans="2:16" x14ac:dyDescent="0.3">
      <c r="B118" s="9">
        <v>42453</v>
      </c>
      <c r="C118" s="3" t="s">
        <v>6</v>
      </c>
      <c r="D118" s="3" t="s">
        <v>14</v>
      </c>
      <c r="E118" s="3" t="s">
        <v>15</v>
      </c>
      <c r="F118" s="5" t="s">
        <v>13</v>
      </c>
      <c r="G118" s="25">
        <v>222</v>
      </c>
      <c r="H118" s="3">
        <f t="shared" si="21"/>
        <v>1</v>
      </c>
      <c r="I118" s="3">
        <f t="shared" si="22"/>
        <v>0</v>
      </c>
      <c r="J118" s="3">
        <f t="shared" si="23"/>
        <v>0</v>
      </c>
      <c r="K118" s="3">
        <f t="shared" si="24"/>
        <v>1</v>
      </c>
      <c r="L118" s="35">
        <f t="shared" si="25"/>
        <v>0</v>
      </c>
      <c r="M118" s="3">
        <v>115</v>
      </c>
      <c r="N118" s="35">
        <f t="shared" si="18"/>
        <v>275.33899762040585</v>
      </c>
      <c r="O118" s="35">
        <f t="shared" si="19"/>
        <v>0.80627881236808574</v>
      </c>
      <c r="P118" s="48">
        <f t="shared" si="20"/>
        <v>280.53795511978086</v>
      </c>
    </row>
    <row r="119" spans="2:16" x14ac:dyDescent="0.3">
      <c r="B119" s="9">
        <v>42454</v>
      </c>
      <c r="C119" s="3" t="s">
        <v>7</v>
      </c>
      <c r="D119" s="3" t="s">
        <v>11</v>
      </c>
      <c r="E119" s="3" t="s">
        <v>16</v>
      </c>
      <c r="F119" s="5" t="s">
        <v>30</v>
      </c>
      <c r="G119" s="25">
        <v>841</v>
      </c>
      <c r="H119" s="3">
        <f t="shared" si="21"/>
        <v>0</v>
      </c>
      <c r="I119" s="3">
        <f t="shared" si="22"/>
        <v>1</v>
      </c>
      <c r="J119" s="3">
        <f t="shared" si="23"/>
        <v>1</v>
      </c>
      <c r="K119" s="3">
        <f t="shared" si="24"/>
        <v>0</v>
      </c>
      <c r="L119" s="35">
        <f t="shared" si="25"/>
        <v>1</v>
      </c>
      <c r="M119" s="3">
        <v>116</v>
      </c>
      <c r="N119" s="35">
        <f t="shared" si="18"/>
        <v>783.44764550499997</v>
      </c>
      <c r="O119" s="35">
        <f t="shared" si="19"/>
        <v>1.0734603707410499</v>
      </c>
      <c r="P119" s="48">
        <f t="shared" si="20"/>
        <v>638.70393389217531</v>
      </c>
    </row>
    <row r="120" spans="2:16" x14ac:dyDescent="0.3">
      <c r="B120" s="9">
        <v>42455</v>
      </c>
      <c r="C120" s="3" t="s">
        <v>8</v>
      </c>
      <c r="D120" s="3" t="s">
        <v>11</v>
      </c>
      <c r="E120" s="3" t="s">
        <v>15</v>
      </c>
      <c r="F120" s="5" t="s">
        <v>13</v>
      </c>
      <c r="G120" s="25">
        <v>467</v>
      </c>
      <c r="H120" s="3">
        <f t="shared" si="21"/>
        <v>1</v>
      </c>
      <c r="I120" s="3">
        <f t="shared" si="22"/>
        <v>0</v>
      </c>
      <c r="J120" s="3">
        <f t="shared" si="23"/>
        <v>1</v>
      </c>
      <c r="K120" s="3">
        <f t="shared" si="24"/>
        <v>0</v>
      </c>
      <c r="L120" s="35">
        <f t="shared" si="25"/>
        <v>0</v>
      </c>
      <c r="M120" s="3">
        <v>117</v>
      </c>
      <c r="N120" s="35">
        <f t="shared" si="18"/>
        <v>441.04278597372706</v>
      </c>
      <c r="O120" s="35">
        <f t="shared" si="19"/>
        <v>1.0588541856975735</v>
      </c>
      <c r="P120" s="48">
        <f t="shared" si="20"/>
        <v>450.67395544223314</v>
      </c>
    </row>
    <row r="121" spans="2:16" x14ac:dyDescent="0.3">
      <c r="B121" s="9">
        <v>42456</v>
      </c>
      <c r="C121" s="3" t="s">
        <v>9</v>
      </c>
      <c r="D121" s="3" t="s">
        <v>11</v>
      </c>
      <c r="E121" s="3" t="s">
        <v>15</v>
      </c>
      <c r="F121" s="5" t="s">
        <v>30</v>
      </c>
      <c r="G121" s="25">
        <v>727</v>
      </c>
      <c r="H121" s="3">
        <f t="shared" si="21"/>
        <v>1</v>
      </c>
      <c r="I121" s="3">
        <f t="shared" si="22"/>
        <v>0</v>
      </c>
      <c r="J121" s="3">
        <f t="shared" si="23"/>
        <v>1</v>
      </c>
      <c r="K121" s="3">
        <f t="shared" si="24"/>
        <v>0</v>
      </c>
      <c r="L121" s="35">
        <f t="shared" si="25"/>
        <v>1</v>
      </c>
      <c r="M121" s="3">
        <v>118</v>
      </c>
      <c r="N121" s="35">
        <f t="shared" si="18"/>
        <v>655.42978696979026</v>
      </c>
      <c r="O121" s="35">
        <f t="shared" si="19"/>
        <v>1.1091958504984891</v>
      </c>
      <c r="P121" s="48">
        <f t="shared" si="20"/>
        <v>618.23512445878953</v>
      </c>
    </row>
    <row r="122" spans="2:16" x14ac:dyDescent="0.3">
      <c r="B122" s="9">
        <v>42457</v>
      </c>
      <c r="C122" s="3" t="s">
        <v>10</v>
      </c>
      <c r="D122" s="3" t="s">
        <v>11</v>
      </c>
      <c r="E122" s="3" t="s">
        <v>16</v>
      </c>
      <c r="F122" s="5" t="s">
        <v>13</v>
      </c>
      <c r="G122" s="25">
        <v>560</v>
      </c>
      <c r="H122" s="3">
        <f t="shared" si="21"/>
        <v>0</v>
      </c>
      <c r="I122" s="3">
        <f t="shared" si="22"/>
        <v>1</v>
      </c>
      <c r="J122" s="3">
        <f t="shared" si="23"/>
        <v>1</v>
      </c>
      <c r="K122" s="3">
        <f t="shared" si="24"/>
        <v>0</v>
      </c>
      <c r="L122" s="35">
        <f t="shared" si="25"/>
        <v>0</v>
      </c>
      <c r="M122" s="3">
        <v>119</v>
      </c>
      <c r="N122" s="35">
        <f t="shared" si="18"/>
        <v>577.72551180147843</v>
      </c>
      <c r="O122" s="35">
        <f t="shared" si="19"/>
        <v>0.96931845411118112</v>
      </c>
      <c r="P122" s="48">
        <f t="shared" si="20"/>
        <v>634.66490386429916</v>
      </c>
    </row>
    <row r="123" spans="2:16" x14ac:dyDescent="0.3">
      <c r="B123" s="9">
        <v>42458</v>
      </c>
      <c r="C123" s="3" t="s">
        <v>4</v>
      </c>
      <c r="D123" s="3" t="s">
        <v>14</v>
      </c>
      <c r="E123" s="3" t="s">
        <v>15</v>
      </c>
      <c r="F123" s="5" t="s">
        <v>13</v>
      </c>
      <c r="G123" s="25">
        <v>211</v>
      </c>
      <c r="H123" s="3">
        <f t="shared" si="21"/>
        <v>1</v>
      </c>
      <c r="I123" s="3">
        <f t="shared" si="22"/>
        <v>0</v>
      </c>
      <c r="J123" s="3">
        <f t="shared" si="23"/>
        <v>0</v>
      </c>
      <c r="K123" s="3">
        <f t="shared" si="24"/>
        <v>1</v>
      </c>
      <c r="L123" s="35">
        <f t="shared" si="25"/>
        <v>0</v>
      </c>
      <c r="M123" s="3">
        <v>120</v>
      </c>
      <c r="N123" s="35">
        <f t="shared" si="18"/>
        <v>286.17008173608292</v>
      </c>
      <c r="O123" s="35">
        <f t="shared" si="19"/>
        <v>0.73732375767566205</v>
      </c>
      <c r="P123" s="48">
        <f t="shared" si="20"/>
        <v>201.55580226325324</v>
      </c>
    </row>
    <row r="124" spans="2:16" x14ac:dyDescent="0.3">
      <c r="B124" s="9">
        <v>42459</v>
      </c>
      <c r="C124" s="3" t="s">
        <v>5</v>
      </c>
      <c r="D124" s="3" t="s">
        <v>14</v>
      </c>
      <c r="E124" s="3" t="s">
        <v>12</v>
      </c>
      <c r="F124" s="5" t="s">
        <v>13</v>
      </c>
      <c r="G124" s="25">
        <v>812</v>
      </c>
      <c r="H124" s="3">
        <f t="shared" si="21"/>
        <v>0</v>
      </c>
      <c r="I124" s="3">
        <f t="shared" si="22"/>
        <v>0</v>
      </c>
      <c r="J124" s="3">
        <f t="shared" si="23"/>
        <v>0</v>
      </c>
      <c r="K124" s="3">
        <f t="shared" si="24"/>
        <v>1</v>
      </c>
      <c r="L124" s="35">
        <f t="shared" si="25"/>
        <v>0</v>
      </c>
      <c r="M124" s="3">
        <v>121</v>
      </c>
      <c r="N124" s="35">
        <f t="shared" si="18"/>
        <v>496.13048924263433</v>
      </c>
      <c r="O124" s="35">
        <f t="shared" si="19"/>
        <v>1.6366661948947236</v>
      </c>
      <c r="P124" s="48">
        <f t="shared" si="20"/>
        <v>742.5634647457241</v>
      </c>
    </row>
    <row r="125" spans="2:16" x14ac:dyDescent="0.3">
      <c r="B125" s="9">
        <v>42460</v>
      </c>
      <c r="C125" s="3" t="s">
        <v>6</v>
      </c>
      <c r="D125" s="3" t="s">
        <v>31</v>
      </c>
      <c r="E125" s="3" t="s">
        <v>15</v>
      </c>
      <c r="F125" s="5" t="s">
        <v>13</v>
      </c>
      <c r="G125" s="25">
        <v>79</v>
      </c>
      <c r="H125" s="3">
        <f t="shared" si="21"/>
        <v>1</v>
      </c>
      <c r="I125" s="3">
        <f t="shared" si="22"/>
        <v>0</v>
      </c>
      <c r="J125" s="3">
        <f t="shared" si="23"/>
        <v>0</v>
      </c>
      <c r="K125" s="3">
        <f t="shared" si="24"/>
        <v>0</v>
      </c>
      <c r="L125" s="35">
        <f t="shared" si="25"/>
        <v>0</v>
      </c>
      <c r="M125" s="3">
        <v>122</v>
      </c>
      <c r="N125" s="35">
        <f t="shared" si="18"/>
        <v>152.38754417361574</v>
      </c>
      <c r="O125" s="35">
        <f t="shared" si="19"/>
        <v>0.51841507406927556</v>
      </c>
      <c r="P125" s="48">
        <f t="shared" si="20"/>
        <v>155.26492940578325</v>
      </c>
    </row>
    <row r="126" spans="2:16" x14ac:dyDescent="0.3">
      <c r="B126" s="9">
        <v>42461</v>
      </c>
      <c r="C126" s="3" t="s">
        <v>7</v>
      </c>
      <c r="D126" s="3" t="s">
        <v>31</v>
      </c>
      <c r="E126" s="3" t="s">
        <v>16</v>
      </c>
      <c r="F126" s="5" t="s">
        <v>13</v>
      </c>
      <c r="G126" s="25">
        <v>91</v>
      </c>
      <c r="H126" s="3">
        <f t="shared" si="21"/>
        <v>0</v>
      </c>
      <c r="I126" s="3">
        <f t="shared" si="22"/>
        <v>1</v>
      </c>
      <c r="J126" s="3">
        <f t="shared" si="23"/>
        <v>0</v>
      </c>
      <c r="K126" s="3">
        <f t="shared" si="24"/>
        <v>0</v>
      </c>
      <c r="L126" s="35">
        <f t="shared" si="25"/>
        <v>0</v>
      </c>
      <c r="M126" s="3">
        <v>123</v>
      </c>
      <c r="N126" s="35">
        <f t="shared" si="18"/>
        <v>286.90405317823172</v>
      </c>
      <c r="O126" s="35">
        <f t="shared" si="19"/>
        <v>0.31717920674849653</v>
      </c>
      <c r="P126" s="48">
        <f t="shared" si="20"/>
        <v>233.89788515661186</v>
      </c>
    </row>
    <row r="127" spans="2:16" x14ac:dyDescent="0.3">
      <c r="B127" s="9">
        <v>42462</v>
      </c>
      <c r="C127" s="3" t="s">
        <v>8</v>
      </c>
      <c r="D127" s="3" t="s">
        <v>14</v>
      </c>
      <c r="E127" s="3" t="s">
        <v>16</v>
      </c>
      <c r="F127" s="5" t="s">
        <v>13</v>
      </c>
      <c r="G127" s="25">
        <v>382</v>
      </c>
      <c r="H127" s="3">
        <f t="shared" si="21"/>
        <v>0</v>
      </c>
      <c r="I127" s="3">
        <f t="shared" si="22"/>
        <v>1</v>
      </c>
      <c r="J127" s="3">
        <f t="shared" si="23"/>
        <v>0</v>
      </c>
      <c r="K127" s="3">
        <f t="shared" si="24"/>
        <v>1</v>
      </c>
      <c r="L127" s="35">
        <f t="shared" si="25"/>
        <v>0</v>
      </c>
      <c r="M127" s="3">
        <v>124</v>
      </c>
      <c r="N127" s="35">
        <f t="shared" si="18"/>
        <v>427.18524121010512</v>
      </c>
      <c r="O127" s="35">
        <f t="shared" si="19"/>
        <v>0.8942256500198672</v>
      </c>
      <c r="P127" s="48">
        <f t="shared" si="20"/>
        <v>436.51379976130255</v>
      </c>
    </row>
    <row r="128" spans="2:16" ht="15" thickBot="1" x14ac:dyDescent="0.35">
      <c r="B128" s="10">
        <v>42463</v>
      </c>
      <c r="C128" s="7" t="s">
        <v>9</v>
      </c>
      <c r="D128" s="7" t="s">
        <v>11</v>
      </c>
      <c r="E128" s="7" t="s">
        <v>29</v>
      </c>
      <c r="F128" s="8" t="s">
        <v>13</v>
      </c>
      <c r="G128" s="27">
        <v>988</v>
      </c>
      <c r="H128" s="7">
        <f t="shared" si="21"/>
        <v>0</v>
      </c>
      <c r="I128" s="7">
        <f t="shared" si="22"/>
        <v>0</v>
      </c>
      <c r="J128" s="7">
        <f t="shared" si="23"/>
        <v>1</v>
      </c>
      <c r="K128" s="7">
        <f t="shared" si="24"/>
        <v>0</v>
      </c>
      <c r="L128" s="50">
        <f t="shared" si="25"/>
        <v>0</v>
      </c>
      <c r="M128" s="7">
        <v>125</v>
      </c>
      <c r="N128" s="50">
        <f t="shared" si="18"/>
        <v>666.16671124222648</v>
      </c>
      <c r="O128" s="50">
        <f t="shared" si="19"/>
        <v>1.4831122350104207</v>
      </c>
      <c r="P128" s="43">
        <f t="shared" si="20"/>
        <v>628.36274429822811</v>
      </c>
    </row>
    <row r="129" spans="2:16" ht="15" thickBot="1" x14ac:dyDescent="0.35">
      <c r="B129" s="36">
        <v>42464</v>
      </c>
      <c r="C129" t="s">
        <v>10</v>
      </c>
      <c r="D129" t="s">
        <v>11</v>
      </c>
      <c r="E129" t="s">
        <v>70</v>
      </c>
      <c r="F129" t="s">
        <v>30</v>
      </c>
      <c r="G129">
        <v>200</v>
      </c>
      <c r="H129" s="7">
        <f t="shared" si="21"/>
        <v>0</v>
      </c>
      <c r="I129" s="7">
        <f t="shared" si="22"/>
        <v>0</v>
      </c>
      <c r="J129" s="7">
        <f t="shared" si="23"/>
        <v>1</v>
      </c>
      <c r="K129" s="7">
        <f t="shared" si="24"/>
        <v>0</v>
      </c>
      <c r="L129" s="50">
        <f t="shared" si="25"/>
        <v>1</v>
      </c>
      <c r="M129" s="7">
        <v>125</v>
      </c>
      <c r="N129" s="50">
        <f t="shared" si="18"/>
        <v>878.38749541515415</v>
      </c>
      <c r="O129" s="50">
        <f t="shared" si="19"/>
        <v>0.22768994440827459</v>
      </c>
      <c r="P129" s="43">
        <f t="shared" si="20"/>
        <v>964.95949018229726</v>
      </c>
    </row>
    <row r="130" spans="2:16" ht="15" thickBot="1" x14ac:dyDescent="0.35">
      <c r="B130" s="36">
        <v>42465</v>
      </c>
      <c r="C130" t="s">
        <v>4</v>
      </c>
      <c r="D130" t="s">
        <v>14</v>
      </c>
      <c r="E130" t="s">
        <v>32</v>
      </c>
      <c r="F130" t="s">
        <v>13</v>
      </c>
      <c r="G130">
        <v>300</v>
      </c>
      <c r="H130" s="7">
        <f t="shared" si="21"/>
        <v>0</v>
      </c>
      <c r="I130" s="7">
        <f t="shared" si="22"/>
        <v>0</v>
      </c>
      <c r="J130" s="7">
        <f t="shared" si="23"/>
        <v>0</v>
      </c>
      <c r="K130" s="7">
        <f t="shared" si="24"/>
        <v>1</v>
      </c>
      <c r="L130" s="50">
        <f t="shared" si="25"/>
        <v>0</v>
      </c>
      <c r="M130" s="7">
        <v>125</v>
      </c>
      <c r="N130" s="50">
        <f t="shared" si="18"/>
        <v>504.79535653517598</v>
      </c>
      <c r="O130" s="50">
        <f t="shared" si="19"/>
        <v>0.59430023694977252</v>
      </c>
      <c r="P130" s="43">
        <f t="shared" si="20"/>
        <v>355.53833038020019</v>
      </c>
    </row>
    <row r="131" spans="2:16" ht="15" thickBot="1" x14ac:dyDescent="0.35">
      <c r="B131" s="36">
        <v>42466</v>
      </c>
      <c r="C131" t="s">
        <v>5</v>
      </c>
      <c r="D131" t="s">
        <v>11</v>
      </c>
      <c r="E131" t="s">
        <v>70</v>
      </c>
      <c r="F131" t="s">
        <v>30</v>
      </c>
      <c r="G131">
        <v>220</v>
      </c>
      <c r="H131" s="7">
        <f t="shared" si="21"/>
        <v>0</v>
      </c>
      <c r="I131" s="7">
        <f t="shared" si="22"/>
        <v>0</v>
      </c>
      <c r="J131" s="7">
        <f t="shared" si="23"/>
        <v>1</v>
      </c>
      <c r="K131" s="7">
        <f t="shared" si="24"/>
        <v>0</v>
      </c>
      <c r="L131" s="50">
        <f t="shared" si="25"/>
        <v>1</v>
      </c>
      <c r="M131" s="7">
        <v>125</v>
      </c>
      <c r="N131" s="50">
        <f t="shared" si="18"/>
        <v>878.38749541515415</v>
      </c>
      <c r="O131" s="50">
        <f t="shared" si="19"/>
        <v>0.25045893884910203</v>
      </c>
      <c r="P131" s="43">
        <f t="shared" si="20"/>
        <v>1314.6913486016506</v>
      </c>
    </row>
    <row r="132" spans="2:16" ht="15" thickBot="1" x14ac:dyDescent="0.35">
      <c r="B132" s="36">
        <v>42467</v>
      </c>
      <c r="C132" t="s">
        <v>6</v>
      </c>
      <c r="D132" t="s">
        <v>11</v>
      </c>
      <c r="E132" t="s">
        <v>70</v>
      </c>
      <c r="F132" t="s">
        <v>30</v>
      </c>
      <c r="G132">
        <v>220</v>
      </c>
      <c r="H132" s="7">
        <f t="shared" si="21"/>
        <v>0</v>
      </c>
      <c r="I132" s="7">
        <f t="shared" si="22"/>
        <v>0</v>
      </c>
      <c r="J132" s="7">
        <f t="shared" si="23"/>
        <v>1</v>
      </c>
      <c r="K132" s="7">
        <f t="shared" si="24"/>
        <v>0</v>
      </c>
      <c r="L132" s="50">
        <f t="shared" si="25"/>
        <v>1</v>
      </c>
      <c r="M132" s="7">
        <v>125</v>
      </c>
      <c r="N132" s="50">
        <f t="shared" si="18"/>
        <v>878.38749541515415</v>
      </c>
      <c r="O132" s="50">
        <f t="shared" si="19"/>
        <v>0.25045893884910203</v>
      </c>
      <c r="P132" s="43">
        <f t="shared" si="20"/>
        <v>894.97322898763457</v>
      </c>
    </row>
    <row r="133" spans="2:16" ht="15" thickBot="1" x14ac:dyDescent="0.35">
      <c r="B133" s="36">
        <v>42468</v>
      </c>
      <c r="C133" t="s">
        <v>7</v>
      </c>
      <c r="D133" t="s">
        <v>26</v>
      </c>
      <c r="E133" t="s">
        <v>70</v>
      </c>
      <c r="F133" t="s">
        <v>30</v>
      </c>
      <c r="G133">
        <v>200</v>
      </c>
      <c r="H133" s="7">
        <f t="shared" si="21"/>
        <v>0</v>
      </c>
      <c r="I133" s="7">
        <f t="shared" si="22"/>
        <v>0</v>
      </c>
      <c r="J133" s="7">
        <f t="shared" si="23"/>
        <v>0</v>
      </c>
      <c r="K133" s="7">
        <f t="shared" si="24"/>
        <v>0</v>
      </c>
      <c r="L133" s="50">
        <f t="shared" si="25"/>
        <v>1</v>
      </c>
      <c r="M133" s="7">
        <v>125</v>
      </c>
      <c r="N133" s="50">
        <f t="shared" si="18"/>
        <v>578.90116949936578</v>
      </c>
      <c r="O133" s="50">
        <f t="shared" si="19"/>
        <v>0.34548211428379072</v>
      </c>
      <c r="P133" s="43">
        <f t="shared" si="20"/>
        <v>471.94787860482012</v>
      </c>
    </row>
    <row r="134" spans="2:16" ht="15" thickBot="1" x14ac:dyDescent="0.35">
      <c r="B134" s="36">
        <v>42469</v>
      </c>
      <c r="C134" t="s">
        <v>8</v>
      </c>
      <c r="D134" t="s">
        <v>11</v>
      </c>
      <c r="E134" t="s">
        <v>70</v>
      </c>
      <c r="F134" t="s">
        <v>30</v>
      </c>
      <c r="G134">
        <v>8</v>
      </c>
      <c r="H134" s="7">
        <f t="shared" si="21"/>
        <v>0</v>
      </c>
      <c r="I134" s="7">
        <f t="shared" si="22"/>
        <v>0</v>
      </c>
      <c r="J134" s="7">
        <f t="shared" si="23"/>
        <v>1</v>
      </c>
      <c r="K134" s="7">
        <f t="shared" si="24"/>
        <v>0</v>
      </c>
      <c r="L134" s="50">
        <f t="shared" si="25"/>
        <v>1</v>
      </c>
      <c r="M134" s="7">
        <v>125</v>
      </c>
      <c r="N134" s="50">
        <f t="shared" si="18"/>
        <v>878.38749541515415</v>
      </c>
      <c r="O134" s="50">
        <f t="shared" si="19"/>
        <v>9.1075977763309841E-3</v>
      </c>
      <c r="P134" s="43">
        <f t="shared" si="20"/>
        <v>897.56907846425065</v>
      </c>
    </row>
    <row r="135" spans="2:16" ht="15" thickBot="1" x14ac:dyDescent="0.35">
      <c r="B135" s="36">
        <v>42470</v>
      </c>
      <c r="C135" t="s">
        <v>9</v>
      </c>
      <c r="D135" t="s">
        <v>26</v>
      </c>
      <c r="E135" t="s">
        <v>70</v>
      </c>
      <c r="F135" t="s">
        <v>30</v>
      </c>
      <c r="G135">
        <v>151</v>
      </c>
      <c r="H135" s="7">
        <f t="shared" si="21"/>
        <v>0</v>
      </c>
      <c r="I135" s="7">
        <f t="shared" si="22"/>
        <v>0</v>
      </c>
      <c r="J135" s="7">
        <f t="shared" si="23"/>
        <v>0</v>
      </c>
      <c r="K135" s="7">
        <f t="shared" si="24"/>
        <v>0</v>
      </c>
      <c r="L135" s="50">
        <f t="shared" si="25"/>
        <v>1</v>
      </c>
      <c r="M135" s="7">
        <v>125</v>
      </c>
      <c r="N135" s="50">
        <f t="shared" si="18"/>
        <v>578.90116949936578</v>
      </c>
      <c r="O135" s="50">
        <f t="shared" si="19"/>
        <v>0.26083899628426199</v>
      </c>
      <c r="P135" s="43">
        <f t="shared" si="20"/>
        <v>546.04939184931379</v>
      </c>
    </row>
    <row r="136" spans="2:16" ht="15" thickBot="1" x14ac:dyDescent="0.35">
      <c r="B136" s="36">
        <v>42471</v>
      </c>
      <c r="C136" t="s">
        <v>10</v>
      </c>
      <c r="D136" t="s">
        <v>11</v>
      </c>
      <c r="E136" t="s">
        <v>70</v>
      </c>
      <c r="F136" t="s">
        <v>30</v>
      </c>
      <c r="G136">
        <v>151</v>
      </c>
      <c r="H136" s="7">
        <f t="shared" si="21"/>
        <v>0</v>
      </c>
      <c r="I136" s="7">
        <f t="shared" si="22"/>
        <v>0</v>
      </c>
      <c r="J136" s="7">
        <f t="shared" si="23"/>
        <v>1</v>
      </c>
      <c r="K136" s="7">
        <f t="shared" si="24"/>
        <v>0</v>
      </c>
      <c r="L136" s="50">
        <f t="shared" si="25"/>
        <v>1</v>
      </c>
      <c r="M136" s="7">
        <v>125</v>
      </c>
      <c r="N136" s="50">
        <f t="shared" si="18"/>
        <v>878.38749541515415</v>
      </c>
      <c r="O136" s="50">
        <f t="shared" si="19"/>
        <v>0.17190590802824732</v>
      </c>
      <c r="P136" s="43">
        <f t="shared" si="20"/>
        <v>964.95949018229726</v>
      </c>
    </row>
    <row r="137" spans="2:16" ht="15" thickBot="1" x14ac:dyDescent="0.35">
      <c r="B137" s="36">
        <v>42472</v>
      </c>
      <c r="C137" t="s">
        <v>4</v>
      </c>
      <c r="D137" t="s">
        <v>26</v>
      </c>
      <c r="E137" t="s">
        <v>70</v>
      </c>
      <c r="F137" t="s">
        <v>30</v>
      </c>
      <c r="G137">
        <v>155</v>
      </c>
      <c r="H137" s="7">
        <f t="shared" si="21"/>
        <v>0</v>
      </c>
      <c r="I137" s="7">
        <f t="shared" si="22"/>
        <v>0</v>
      </c>
      <c r="J137" s="7">
        <f t="shared" si="23"/>
        <v>0</v>
      </c>
      <c r="K137" s="7">
        <f t="shared" si="24"/>
        <v>0</v>
      </c>
      <c r="L137" s="50">
        <f t="shared" si="25"/>
        <v>1</v>
      </c>
      <c r="M137" s="7">
        <v>125</v>
      </c>
      <c r="N137" s="50">
        <f t="shared" si="18"/>
        <v>578.90116949936578</v>
      </c>
      <c r="O137" s="50">
        <f t="shared" si="19"/>
        <v>0.2677486385699378</v>
      </c>
      <c r="P137" s="43">
        <f t="shared" si="20"/>
        <v>407.73266353254854</v>
      </c>
    </row>
    <row r="138" spans="2:16" ht="15" thickBot="1" x14ac:dyDescent="0.35">
      <c r="B138" s="36">
        <v>42473</v>
      </c>
      <c r="C138" t="s">
        <v>5</v>
      </c>
      <c r="D138" t="s">
        <v>11</v>
      </c>
      <c r="E138" t="s">
        <v>32</v>
      </c>
      <c r="F138" t="s">
        <v>30</v>
      </c>
      <c r="G138">
        <v>156</v>
      </c>
      <c r="H138" s="7">
        <f t="shared" si="21"/>
        <v>0</v>
      </c>
      <c r="I138" s="7">
        <f t="shared" si="22"/>
        <v>0</v>
      </c>
      <c r="J138" s="7">
        <f t="shared" si="23"/>
        <v>1</v>
      </c>
      <c r="K138" s="7">
        <f t="shared" si="24"/>
        <v>0</v>
      </c>
      <c r="L138" s="50">
        <f t="shared" si="25"/>
        <v>1</v>
      </c>
      <c r="M138" s="7">
        <v>125</v>
      </c>
      <c r="N138" s="50">
        <f t="shared" si="18"/>
        <v>878.38749541515415</v>
      </c>
      <c r="O138" s="50">
        <f t="shared" si="19"/>
        <v>0.17759815663845419</v>
      </c>
      <c r="P138" s="43">
        <f t="shared" si="20"/>
        <v>1314.6913486016506</v>
      </c>
    </row>
    <row r="139" spans="2:16" x14ac:dyDescent="0.3">
      <c r="B139" s="36"/>
      <c r="H139">
        <f t="shared" si="21"/>
        <v>0</v>
      </c>
      <c r="I139">
        <f t="shared" si="22"/>
        <v>0</v>
      </c>
      <c r="J139">
        <f t="shared" si="23"/>
        <v>0</v>
      </c>
      <c r="K139">
        <f t="shared" si="24"/>
        <v>0</v>
      </c>
      <c r="L139">
        <f t="shared" si="25"/>
        <v>0</v>
      </c>
      <c r="M139">
        <v>125</v>
      </c>
      <c r="N139">
        <f t="shared" ref="N139:N140" si="26">$U$21+$U$22*H139+$U$23*I139+$U$24*J139+$U$25*K139+$U$26*L139+$U$27*M139</f>
        <v>366.680385326438</v>
      </c>
      <c r="O139">
        <f t="shared" ref="O139:O140" si="27">G139/N139</f>
        <v>0</v>
      </c>
      <c r="P139" t="e">
        <f t="shared" ref="P139:P140" si="28">VLOOKUP(C139,$T$33:$U$39,2,FALSE)*N139</f>
        <v>#N/A</v>
      </c>
    </row>
    <row r="140" spans="2:16" x14ac:dyDescent="0.3">
      <c r="B140" s="36"/>
      <c r="H140">
        <f t="shared" si="21"/>
        <v>0</v>
      </c>
      <c r="I140">
        <f t="shared" si="22"/>
        <v>0</v>
      </c>
      <c r="J140">
        <f t="shared" si="23"/>
        <v>0</v>
      </c>
      <c r="K140">
        <f t="shared" si="24"/>
        <v>0</v>
      </c>
      <c r="L140">
        <f t="shared" si="25"/>
        <v>0</v>
      </c>
      <c r="M140">
        <v>125</v>
      </c>
      <c r="N140">
        <f t="shared" si="26"/>
        <v>366.680385326438</v>
      </c>
      <c r="O140">
        <f t="shared" si="27"/>
        <v>0</v>
      </c>
      <c r="P140" t="e">
        <f t="shared" si="28"/>
        <v>#N/A</v>
      </c>
    </row>
  </sheetData>
  <mergeCells count="2">
    <mergeCell ref="D2:F2"/>
    <mergeCell ref="G2:K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Z145"/>
  <sheetViews>
    <sheetView topLeftCell="B2" workbookViewId="0">
      <selection activeCell="H3" sqref="H3:L3"/>
    </sheetView>
  </sheetViews>
  <sheetFormatPr defaultRowHeight="14.4" x14ac:dyDescent="0.3"/>
  <cols>
    <col min="18" max="18" width="10.6640625" customWidth="1"/>
    <col min="19" max="19" width="14.44140625" customWidth="1"/>
  </cols>
  <sheetData>
    <row r="1" spans="2:23" ht="15" thickBot="1" x14ac:dyDescent="0.35"/>
    <row r="2" spans="2:23" ht="15" thickBot="1" x14ac:dyDescent="0.35">
      <c r="B2" s="2"/>
      <c r="C2" s="1"/>
      <c r="D2" s="61" t="s">
        <v>1</v>
      </c>
      <c r="E2" s="59"/>
      <c r="F2" s="60"/>
      <c r="G2" s="58" t="s">
        <v>27</v>
      </c>
      <c r="H2" s="59"/>
      <c r="I2" s="59"/>
      <c r="J2" s="59"/>
    </row>
    <row r="3" spans="2:23" x14ac:dyDescent="0.3">
      <c r="B3" s="53" t="s">
        <v>0</v>
      </c>
      <c r="C3" s="46" t="s">
        <v>25</v>
      </c>
      <c r="D3" s="46" t="s">
        <v>2</v>
      </c>
      <c r="E3" s="46" t="s">
        <v>3</v>
      </c>
      <c r="F3" s="47" t="s">
        <v>28</v>
      </c>
      <c r="G3" s="54" t="s">
        <v>19</v>
      </c>
      <c r="H3" s="46" t="s">
        <v>32</v>
      </c>
      <c r="I3" s="46" t="s">
        <v>16</v>
      </c>
      <c r="J3" s="46" t="s">
        <v>11</v>
      </c>
      <c r="K3" s="46" t="s">
        <v>33</v>
      </c>
      <c r="L3" s="46" t="s">
        <v>34</v>
      </c>
      <c r="M3" s="46" t="s">
        <v>58</v>
      </c>
      <c r="N3" s="46" t="s">
        <v>63</v>
      </c>
      <c r="O3" s="47" t="s">
        <v>66</v>
      </c>
      <c r="R3" t="s">
        <v>35</v>
      </c>
    </row>
    <row r="4" spans="2:23" ht="15" thickBot="1" x14ac:dyDescent="0.35">
      <c r="B4" s="9">
        <v>42339</v>
      </c>
      <c r="C4" s="3" t="s">
        <v>4</v>
      </c>
      <c r="D4" s="3" t="s">
        <v>11</v>
      </c>
      <c r="E4" s="3" t="s">
        <v>15</v>
      </c>
      <c r="F4" s="5" t="s">
        <v>13</v>
      </c>
      <c r="G4" s="25">
        <v>162</v>
      </c>
      <c r="H4" s="3">
        <f t="shared" ref="H4:H35" si="0">IF(E4=$H$3,1,0)</f>
        <v>0</v>
      </c>
      <c r="I4" s="3">
        <f t="shared" ref="I4:I35" si="1">IF(E4=$I$3,1,0)</f>
        <v>0</v>
      </c>
      <c r="J4" s="3">
        <f t="shared" ref="J4:J35" si="2">IF(D4=J$3,1,0)</f>
        <v>1</v>
      </c>
      <c r="K4" s="35">
        <f t="shared" ref="K4:K35" si="3">IF(F4="Yes",1,0)</f>
        <v>0</v>
      </c>
      <c r="L4" s="3">
        <v>1</v>
      </c>
      <c r="M4" s="35">
        <f>$S$19+$S$20*H4+$S$21*I4+$S$22*J4+$S$23*K4+$S$24*L4</f>
        <v>158.34634052843782</v>
      </c>
      <c r="N4" s="35">
        <f>G4/M4</f>
        <v>1.0230738484979764</v>
      </c>
      <c r="O4" s="48">
        <f>VLOOKUP(C4,$R$30:$S$36,2,FALSE)*M4</f>
        <v>166.11467746682274</v>
      </c>
    </row>
    <row r="5" spans="2:23" x14ac:dyDescent="0.3">
      <c r="B5" s="9">
        <v>42340</v>
      </c>
      <c r="C5" s="3" t="s">
        <v>5</v>
      </c>
      <c r="D5" s="3" t="s">
        <v>11</v>
      </c>
      <c r="E5" s="3" t="s">
        <v>29</v>
      </c>
      <c r="F5" s="5" t="s">
        <v>13</v>
      </c>
      <c r="G5" s="25">
        <v>211</v>
      </c>
      <c r="H5" s="3">
        <f t="shared" si="0"/>
        <v>1</v>
      </c>
      <c r="I5" s="3">
        <f t="shared" si="1"/>
        <v>0</v>
      </c>
      <c r="J5" s="3">
        <f t="shared" si="2"/>
        <v>1</v>
      </c>
      <c r="K5" s="35">
        <f t="shared" si="3"/>
        <v>0</v>
      </c>
      <c r="L5" s="3">
        <v>2</v>
      </c>
      <c r="M5" s="35">
        <f t="shared" ref="M5:M68" si="4">$S$19+$S$20*H5+$S$21*I5+$S$22*J5+$S$23*K5+$S$24*L5</f>
        <v>227.89859806769428</v>
      </c>
      <c r="N5" s="35">
        <f t="shared" ref="N5:N68" si="5">G5/M5</f>
        <v>0.92585036410502719</v>
      </c>
      <c r="O5" s="48">
        <f t="shared" ref="O5:O68" si="6">VLOOKUP(C5,$R$30:$S$36,2,FALSE)*M5</f>
        <v>222.227297698131</v>
      </c>
      <c r="R5" s="32" t="s">
        <v>36</v>
      </c>
      <c r="S5" s="32"/>
    </row>
    <row r="6" spans="2:23" x14ac:dyDescent="0.3">
      <c r="B6" s="9">
        <v>42341</v>
      </c>
      <c r="C6" s="3" t="s">
        <v>6</v>
      </c>
      <c r="D6" s="3" t="s">
        <v>14</v>
      </c>
      <c r="E6" s="3" t="s">
        <v>15</v>
      </c>
      <c r="F6" s="5" t="s">
        <v>13</v>
      </c>
      <c r="G6" s="25">
        <v>140</v>
      </c>
      <c r="H6" s="3">
        <f t="shared" si="0"/>
        <v>0</v>
      </c>
      <c r="I6" s="3">
        <f t="shared" si="1"/>
        <v>0</v>
      </c>
      <c r="J6" s="3">
        <f t="shared" si="2"/>
        <v>0</v>
      </c>
      <c r="K6" s="35">
        <f t="shared" si="3"/>
        <v>0</v>
      </c>
      <c r="L6" s="3">
        <v>3</v>
      </c>
      <c r="M6" s="35">
        <f t="shared" si="4"/>
        <v>128.3790353419094</v>
      </c>
      <c r="N6" s="35">
        <f t="shared" si="5"/>
        <v>1.0905207351585149</v>
      </c>
      <c r="O6" s="48">
        <f t="shared" si="6"/>
        <v>128.69447956553196</v>
      </c>
      <c r="R6" s="29" t="s">
        <v>37</v>
      </c>
      <c r="S6" s="29">
        <v>0.77952340348140226</v>
      </c>
    </row>
    <row r="7" spans="2:23" x14ac:dyDescent="0.3">
      <c r="B7" s="9">
        <v>42342</v>
      </c>
      <c r="C7" s="3" t="s">
        <v>7</v>
      </c>
      <c r="D7" s="3" t="s">
        <v>11</v>
      </c>
      <c r="E7" s="3" t="s">
        <v>15</v>
      </c>
      <c r="F7" s="5" t="s">
        <v>13</v>
      </c>
      <c r="G7" s="25">
        <v>166</v>
      </c>
      <c r="H7" s="3">
        <f t="shared" si="0"/>
        <v>0</v>
      </c>
      <c r="I7" s="3">
        <f t="shared" si="1"/>
        <v>0</v>
      </c>
      <c r="J7" s="3">
        <f t="shared" si="2"/>
        <v>1</v>
      </c>
      <c r="K7" s="35">
        <f t="shared" si="3"/>
        <v>0</v>
      </c>
      <c r="L7" s="3">
        <v>4</v>
      </c>
      <c r="M7" s="35">
        <f t="shared" si="4"/>
        <v>160.91146683585961</v>
      </c>
      <c r="N7" s="35">
        <f t="shared" si="5"/>
        <v>1.0316231854957298</v>
      </c>
      <c r="O7" s="48">
        <f t="shared" si="6"/>
        <v>167.65374710030645</v>
      </c>
      <c r="R7" s="29" t="s">
        <v>38</v>
      </c>
      <c r="S7" s="29">
        <v>0.60765673657522912</v>
      </c>
    </row>
    <row r="8" spans="2:23" x14ac:dyDescent="0.3">
      <c r="B8" s="9">
        <v>42343</v>
      </c>
      <c r="C8" s="3" t="s">
        <v>8</v>
      </c>
      <c r="D8" s="3" t="s">
        <v>11</v>
      </c>
      <c r="E8" s="3" t="s">
        <v>15</v>
      </c>
      <c r="F8" s="5" t="s">
        <v>13</v>
      </c>
      <c r="G8" s="25">
        <v>162</v>
      </c>
      <c r="H8" s="3">
        <f t="shared" si="0"/>
        <v>0</v>
      </c>
      <c r="I8" s="3">
        <f t="shared" si="1"/>
        <v>0</v>
      </c>
      <c r="J8" s="3">
        <f t="shared" si="2"/>
        <v>1</v>
      </c>
      <c r="K8" s="35">
        <f t="shared" si="3"/>
        <v>0</v>
      </c>
      <c r="L8" s="3">
        <v>5</v>
      </c>
      <c r="M8" s="35">
        <f t="shared" si="4"/>
        <v>161.76650893833354</v>
      </c>
      <c r="N8" s="35">
        <f t="shared" si="5"/>
        <v>1.0014433832021155</v>
      </c>
      <c r="O8" s="48">
        <f t="shared" si="6"/>
        <v>163.30013824174841</v>
      </c>
      <c r="R8" s="29" t="s">
        <v>39</v>
      </c>
      <c r="S8" s="29">
        <v>0.5911717255069614</v>
      </c>
    </row>
    <row r="9" spans="2:23" x14ac:dyDescent="0.3">
      <c r="B9" s="9">
        <v>42344</v>
      </c>
      <c r="C9" s="3" t="s">
        <v>9</v>
      </c>
      <c r="D9" s="3" t="s">
        <v>14</v>
      </c>
      <c r="E9" s="3" t="s">
        <v>16</v>
      </c>
      <c r="F9" s="5" t="s">
        <v>13</v>
      </c>
      <c r="G9" s="25">
        <v>144</v>
      </c>
      <c r="H9" s="3">
        <f t="shared" si="0"/>
        <v>0</v>
      </c>
      <c r="I9" s="3">
        <f t="shared" si="1"/>
        <v>1</v>
      </c>
      <c r="J9" s="3">
        <f t="shared" si="2"/>
        <v>0</v>
      </c>
      <c r="K9" s="35">
        <f t="shared" si="3"/>
        <v>0</v>
      </c>
      <c r="L9" s="3">
        <v>6</v>
      </c>
      <c r="M9" s="35">
        <f t="shared" si="4"/>
        <v>178.32352564799885</v>
      </c>
      <c r="N9" s="35">
        <f t="shared" si="5"/>
        <v>0.80752104623732224</v>
      </c>
      <c r="O9" s="48">
        <f t="shared" si="6"/>
        <v>149.4283371454955</v>
      </c>
      <c r="R9" s="29" t="s">
        <v>40</v>
      </c>
      <c r="S9" s="29">
        <v>30.560123335218297</v>
      </c>
    </row>
    <row r="10" spans="2:23" ht="15" thickBot="1" x14ac:dyDescent="0.35">
      <c r="B10" s="9">
        <v>42345</v>
      </c>
      <c r="C10" s="3" t="s">
        <v>10</v>
      </c>
      <c r="D10" s="3" t="s">
        <v>11</v>
      </c>
      <c r="E10" s="3" t="s">
        <v>29</v>
      </c>
      <c r="F10" s="5" t="s">
        <v>13</v>
      </c>
      <c r="G10" s="25">
        <v>228</v>
      </c>
      <c r="H10" s="3">
        <f t="shared" si="0"/>
        <v>1</v>
      </c>
      <c r="I10" s="3">
        <f t="shared" si="1"/>
        <v>0</v>
      </c>
      <c r="J10" s="3">
        <f t="shared" si="2"/>
        <v>1</v>
      </c>
      <c r="K10" s="35">
        <f t="shared" si="3"/>
        <v>0</v>
      </c>
      <c r="L10" s="3">
        <v>7</v>
      </c>
      <c r="M10" s="35">
        <f t="shared" si="4"/>
        <v>232.17380858006396</v>
      </c>
      <c r="N10" s="35">
        <f t="shared" si="5"/>
        <v>0.98202291375762718</v>
      </c>
      <c r="O10" s="48">
        <f t="shared" si="6"/>
        <v>254.53731027065098</v>
      </c>
      <c r="R10" s="30" t="s">
        <v>41</v>
      </c>
      <c r="S10" s="30">
        <v>125</v>
      </c>
    </row>
    <row r="11" spans="2:23" x14ac:dyDescent="0.3">
      <c r="B11" s="9">
        <v>42346</v>
      </c>
      <c r="C11" s="3" t="s">
        <v>4</v>
      </c>
      <c r="D11" s="3" t="s">
        <v>11</v>
      </c>
      <c r="E11" s="3" t="s">
        <v>15</v>
      </c>
      <c r="F11" s="5" t="s">
        <v>13</v>
      </c>
      <c r="G11" s="25">
        <v>167</v>
      </c>
      <c r="H11" s="3">
        <f t="shared" si="0"/>
        <v>0</v>
      </c>
      <c r="I11" s="3">
        <f t="shared" si="1"/>
        <v>0</v>
      </c>
      <c r="J11" s="3">
        <f t="shared" si="2"/>
        <v>1</v>
      </c>
      <c r="K11" s="35">
        <f t="shared" si="3"/>
        <v>0</v>
      </c>
      <c r="L11" s="3">
        <v>8</v>
      </c>
      <c r="M11" s="35">
        <f t="shared" si="4"/>
        <v>164.33163524575536</v>
      </c>
      <c r="N11" s="35">
        <f t="shared" si="5"/>
        <v>1.0162376815045633</v>
      </c>
      <c r="O11" s="48">
        <f t="shared" si="6"/>
        <v>172.39360565798307</v>
      </c>
    </row>
    <row r="12" spans="2:23" ht="15" thickBot="1" x14ac:dyDescent="0.35">
      <c r="B12" s="9">
        <v>42347</v>
      </c>
      <c r="C12" s="3" t="s">
        <v>5</v>
      </c>
      <c r="D12" s="3" t="s">
        <v>11</v>
      </c>
      <c r="E12" s="3" t="s">
        <v>16</v>
      </c>
      <c r="F12" s="5" t="s">
        <v>13</v>
      </c>
      <c r="G12" s="25">
        <v>196</v>
      </c>
      <c r="H12" s="3">
        <f t="shared" si="0"/>
        <v>0</v>
      </c>
      <c r="I12" s="3">
        <f t="shared" si="1"/>
        <v>1</v>
      </c>
      <c r="J12" s="3">
        <f t="shared" si="2"/>
        <v>1</v>
      </c>
      <c r="K12" s="35">
        <f t="shared" si="3"/>
        <v>0</v>
      </c>
      <c r="L12" s="3">
        <v>9</v>
      </c>
      <c r="M12" s="35">
        <f t="shared" si="4"/>
        <v>212.56604134689695</v>
      </c>
      <c r="N12" s="35">
        <f t="shared" si="5"/>
        <v>0.92206637879725095</v>
      </c>
      <c r="O12" s="48">
        <f t="shared" si="6"/>
        <v>207.27629459518954</v>
      </c>
      <c r="R12" t="s">
        <v>42</v>
      </c>
    </row>
    <row r="13" spans="2:23" x14ac:dyDescent="0.3">
      <c r="B13" s="9">
        <v>42348</v>
      </c>
      <c r="C13" s="3" t="s">
        <v>6</v>
      </c>
      <c r="D13" s="3" t="s">
        <v>26</v>
      </c>
      <c r="E13" s="3" t="s">
        <v>16</v>
      </c>
      <c r="F13" s="5" t="s">
        <v>13</v>
      </c>
      <c r="G13" s="25">
        <v>166</v>
      </c>
      <c r="H13" s="3">
        <f t="shared" si="0"/>
        <v>0</v>
      </c>
      <c r="I13" s="3">
        <f t="shared" si="1"/>
        <v>1</v>
      </c>
      <c r="J13" s="3">
        <f t="shared" si="2"/>
        <v>0</v>
      </c>
      <c r="K13" s="35">
        <f t="shared" si="3"/>
        <v>0</v>
      </c>
      <c r="L13" s="3">
        <v>10</v>
      </c>
      <c r="M13" s="35">
        <f t="shared" si="4"/>
        <v>181.7436940578946</v>
      </c>
      <c r="N13" s="35">
        <f t="shared" si="5"/>
        <v>0.91337419358891525</v>
      </c>
      <c r="O13" s="48">
        <f t="shared" si="6"/>
        <v>182.1902622870272</v>
      </c>
      <c r="R13" s="31"/>
      <c r="S13" s="31" t="s">
        <v>47</v>
      </c>
      <c r="T13" s="31" t="s">
        <v>48</v>
      </c>
      <c r="U13" s="31" t="s">
        <v>49</v>
      </c>
      <c r="V13" s="31" t="s">
        <v>50</v>
      </c>
      <c r="W13" s="31" t="s">
        <v>51</v>
      </c>
    </row>
    <row r="14" spans="2:23" x14ac:dyDescent="0.3">
      <c r="B14" s="9">
        <v>42349</v>
      </c>
      <c r="C14" s="3" t="s">
        <v>7</v>
      </c>
      <c r="D14" s="3" t="s">
        <v>14</v>
      </c>
      <c r="E14" s="3" t="s">
        <v>16</v>
      </c>
      <c r="F14" s="5" t="s">
        <v>13</v>
      </c>
      <c r="G14" s="25">
        <v>189</v>
      </c>
      <c r="H14" s="3">
        <f t="shared" si="0"/>
        <v>0</v>
      </c>
      <c r="I14" s="3">
        <f t="shared" si="1"/>
        <v>1</v>
      </c>
      <c r="J14" s="3">
        <f t="shared" si="2"/>
        <v>0</v>
      </c>
      <c r="K14" s="35">
        <f t="shared" si="3"/>
        <v>0</v>
      </c>
      <c r="L14" s="3">
        <v>11</v>
      </c>
      <c r="M14" s="35">
        <f t="shared" si="4"/>
        <v>182.59873616036853</v>
      </c>
      <c r="N14" s="35">
        <f t="shared" si="5"/>
        <v>1.0350564520556678</v>
      </c>
      <c r="O14" s="48">
        <f t="shared" si="6"/>
        <v>190.24972511308764</v>
      </c>
      <c r="R14" s="29" t="s">
        <v>43</v>
      </c>
      <c r="S14" s="29">
        <v>5</v>
      </c>
      <c r="T14" s="29">
        <v>172127.11254661341</v>
      </c>
      <c r="U14" s="29">
        <v>34425.422509322685</v>
      </c>
      <c r="V14" s="29">
        <v>36.861166429236995</v>
      </c>
      <c r="W14" s="29">
        <v>1.1408627009407273E-22</v>
      </c>
    </row>
    <row r="15" spans="2:23" x14ac:dyDescent="0.3">
      <c r="B15" s="9">
        <v>42350</v>
      </c>
      <c r="C15" s="3" t="s">
        <v>8</v>
      </c>
      <c r="D15" s="3" t="s">
        <v>14</v>
      </c>
      <c r="E15" s="3" t="s">
        <v>16</v>
      </c>
      <c r="F15" s="5" t="s">
        <v>13</v>
      </c>
      <c r="G15" s="25">
        <v>178</v>
      </c>
      <c r="H15" s="3">
        <f t="shared" si="0"/>
        <v>0</v>
      </c>
      <c r="I15" s="3">
        <f t="shared" si="1"/>
        <v>1</v>
      </c>
      <c r="J15" s="3">
        <f t="shared" si="2"/>
        <v>0</v>
      </c>
      <c r="K15" s="35">
        <f t="shared" si="3"/>
        <v>0</v>
      </c>
      <c r="L15" s="3">
        <v>12</v>
      </c>
      <c r="M15" s="35">
        <f t="shared" si="4"/>
        <v>183.45377826284246</v>
      </c>
      <c r="N15" s="35">
        <f t="shared" si="5"/>
        <v>0.97027164927053944</v>
      </c>
      <c r="O15" s="48">
        <f t="shared" si="6"/>
        <v>185.19301397988031</v>
      </c>
      <c r="R15" s="29" t="s">
        <v>44</v>
      </c>
      <c r="S15" s="29">
        <v>119</v>
      </c>
      <c r="T15" s="29">
        <v>111136.61545338671</v>
      </c>
      <c r="U15" s="29">
        <v>933.92113826375385</v>
      </c>
      <c r="V15" s="29"/>
      <c r="W15" s="29"/>
    </row>
    <row r="16" spans="2:23" ht="15" thickBot="1" x14ac:dyDescent="0.35">
      <c r="B16" s="9">
        <v>42351</v>
      </c>
      <c r="C16" s="3" t="s">
        <v>9</v>
      </c>
      <c r="D16" s="3" t="s">
        <v>26</v>
      </c>
      <c r="E16" s="3" t="s">
        <v>15</v>
      </c>
      <c r="F16" s="5" t="s">
        <v>13</v>
      </c>
      <c r="G16" s="25">
        <v>124</v>
      </c>
      <c r="H16" s="3">
        <f t="shared" si="0"/>
        <v>0</v>
      </c>
      <c r="I16" s="3">
        <f t="shared" si="1"/>
        <v>0</v>
      </c>
      <c r="J16" s="3">
        <f t="shared" si="2"/>
        <v>0</v>
      </c>
      <c r="K16" s="35">
        <f t="shared" si="3"/>
        <v>0</v>
      </c>
      <c r="L16" s="3">
        <v>13</v>
      </c>
      <c r="M16" s="35">
        <f t="shared" si="4"/>
        <v>136.92945636664874</v>
      </c>
      <c r="N16" s="35">
        <f t="shared" si="5"/>
        <v>0.90557578544657169</v>
      </c>
      <c r="O16" s="48">
        <f t="shared" si="6"/>
        <v>114.74168030691703</v>
      </c>
      <c r="R16" s="30" t="s">
        <v>45</v>
      </c>
      <c r="S16" s="30">
        <v>124</v>
      </c>
      <c r="T16" s="30">
        <v>283263.72800000012</v>
      </c>
      <c r="U16" s="30"/>
      <c r="V16" s="30"/>
      <c r="W16" s="30"/>
    </row>
    <row r="17" spans="2:26" ht="15" thickBot="1" x14ac:dyDescent="0.35">
      <c r="B17" s="9">
        <v>42352</v>
      </c>
      <c r="C17" s="3" t="s">
        <v>10</v>
      </c>
      <c r="D17" s="3" t="s">
        <v>14</v>
      </c>
      <c r="E17" s="3" t="s">
        <v>29</v>
      </c>
      <c r="F17" s="5" t="s">
        <v>13</v>
      </c>
      <c r="G17" s="25">
        <v>209</v>
      </c>
      <c r="H17" s="3">
        <f t="shared" si="0"/>
        <v>1</v>
      </c>
      <c r="I17" s="3">
        <f t="shared" si="1"/>
        <v>0</v>
      </c>
      <c r="J17" s="3">
        <f t="shared" si="2"/>
        <v>0</v>
      </c>
      <c r="K17" s="35">
        <f t="shared" si="3"/>
        <v>0</v>
      </c>
      <c r="L17" s="3">
        <v>14</v>
      </c>
      <c r="M17" s="35">
        <f t="shared" si="4"/>
        <v>206.4817139059052</v>
      </c>
      <c r="N17" s="35">
        <f t="shared" si="5"/>
        <v>1.0121961700455586</v>
      </c>
      <c r="O17" s="48">
        <f t="shared" si="6"/>
        <v>226.37049544526491</v>
      </c>
    </row>
    <row r="18" spans="2:26" x14ac:dyDescent="0.3">
      <c r="B18" s="9">
        <v>42353</v>
      </c>
      <c r="C18" s="3" t="s">
        <v>4</v>
      </c>
      <c r="D18" s="3" t="s">
        <v>26</v>
      </c>
      <c r="E18" s="3" t="s">
        <v>15</v>
      </c>
      <c r="F18" s="5" t="s">
        <v>13</v>
      </c>
      <c r="G18" s="25">
        <v>145</v>
      </c>
      <c r="H18" s="3">
        <f t="shared" si="0"/>
        <v>0</v>
      </c>
      <c r="I18" s="3">
        <f t="shared" si="1"/>
        <v>0</v>
      </c>
      <c r="J18" s="3">
        <f t="shared" si="2"/>
        <v>0</v>
      </c>
      <c r="K18" s="35">
        <f t="shared" si="3"/>
        <v>0</v>
      </c>
      <c r="L18" s="3">
        <v>15</v>
      </c>
      <c r="M18" s="35">
        <f t="shared" si="4"/>
        <v>138.6395405715966</v>
      </c>
      <c r="N18" s="35">
        <f t="shared" si="5"/>
        <v>1.0458776724315435</v>
      </c>
      <c r="O18" s="48">
        <f t="shared" si="6"/>
        <v>145.44107864660899</v>
      </c>
      <c r="R18" s="31"/>
      <c r="S18" s="31" t="s">
        <v>52</v>
      </c>
      <c r="T18" s="31" t="s">
        <v>40</v>
      </c>
      <c r="U18" s="31" t="s">
        <v>53</v>
      </c>
      <c r="V18" s="31" t="s">
        <v>54</v>
      </c>
      <c r="W18" s="31" t="s">
        <v>55</v>
      </c>
      <c r="X18" s="31" t="s">
        <v>56</v>
      </c>
      <c r="Y18" s="31" t="s">
        <v>86</v>
      </c>
      <c r="Z18" s="31" t="s">
        <v>87</v>
      </c>
    </row>
    <row r="19" spans="2:26" x14ac:dyDescent="0.3">
      <c r="B19" s="9">
        <v>42354</v>
      </c>
      <c r="C19" s="3" t="s">
        <v>5</v>
      </c>
      <c r="D19" s="3" t="s">
        <v>11</v>
      </c>
      <c r="E19" s="3" t="s">
        <v>15</v>
      </c>
      <c r="F19" s="5" t="s">
        <v>13</v>
      </c>
      <c r="G19" s="25">
        <v>170</v>
      </c>
      <c r="H19" s="3">
        <f t="shared" si="0"/>
        <v>0</v>
      </c>
      <c r="I19" s="3">
        <f t="shared" si="1"/>
        <v>0</v>
      </c>
      <c r="J19" s="3">
        <f t="shared" si="2"/>
        <v>1</v>
      </c>
      <c r="K19" s="35">
        <f t="shared" si="3"/>
        <v>0</v>
      </c>
      <c r="L19" s="3">
        <v>16</v>
      </c>
      <c r="M19" s="35">
        <f t="shared" si="4"/>
        <v>171.17197206554681</v>
      </c>
      <c r="N19" s="35">
        <f t="shared" si="5"/>
        <v>0.9931532478629268</v>
      </c>
      <c r="O19" s="48">
        <f t="shared" si="6"/>
        <v>166.91232467558851</v>
      </c>
      <c r="R19" s="29" t="s">
        <v>46</v>
      </c>
      <c r="S19" s="29">
        <v>125.81390903448761</v>
      </c>
      <c r="T19" s="29">
        <v>7.4344535065097617</v>
      </c>
      <c r="U19" s="29">
        <v>16.923087746035716</v>
      </c>
      <c r="V19" s="29">
        <v>1.8355833595998299E-33</v>
      </c>
      <c r="W19" s="29">
        <v>111.09294856472275</v>
      </c>
      <c r="X19" s="29">
        <v>140.53486950425247</v>
      </c>
      <c r="Y19" s="29">
        <v>111.09294856472275</v>
      </c>
      <c r="Z19" s="29">
        <v>140.53486950425247</v>
      </c>
    </row>
    <row r="20" spans="2:26" x14ac:dyDescent="0.3">
      <c r="B20" s="9">
        <v>42355</v>
      </c>
      <c r="C20" s="3" t="s">
        <v>6</v>
      </c>
      <c r="D20" s="3" t="s">
        <v>14</v>
      </c>
      <c r="E20" s="3" t="s">
        <v>29</v>
      </c>
      <c r="F20" s="5" t="s">
        <v>13</v>
      </c>
      <c r="G20" s="25">
        <v>208</v>
      </c>
      <c r="H20" s="3">
        <f t="shared" si="0"/>
        <v>1</v>
      </c>
      <c r="I20" s="3">
        <f t="shared" si="1"/>
        <v>0</v>
      </c>
      <c r="J20" s="3">
        <f t="shared" si="2"/>
        <v>0</v>
      </c>
      <c r="K20" s="35">
        <f t="shared" si="3"/>
        <v>0</v>
      </c>
      <c r="L20" s="3">
        <v>17</v>
      </c>
      <c r="M20" s="35">
        <f t="shared" si="4"/>
        <v>209.04684021332699</v>
      </c>
      <c r="N20" s="35">
        <f t="shared" si="5"/>
        <v>0.99499231745259242</v>
      </c>
      <c r="O20" s="48">
        <f t="shared" si="6"/>
        <v>209.5604958739745</v>
      </c>
      <c r="R20" s="29" t="s">
        <v>32</v>
      </c>
      <c r="S20" s="29">
        <v>68.697215436782528</v>
      </c>
      <c r="T20" s="29">
        <v>9.3312211585363034</v>
      </c>
      <c r="U20" s="29">
        <v>7.3620820115208137</v>
      </c>
      <c r="V20" s="29">
        <v>2.5667189053492878E-11</v>
      </c>
      <c r="W20" s="29">
        <v>50.220465573572383</v>
      </c>
      <c r="X20" s="29">
        <v>87.173965299992673</v>
      </c>
      <c r="Y20" s="29">
        <v>50.220465573572383</v>
      </c>
      <c r="Z20" s="29">
        <v>87.173965299992673</v>
      </c>
    </row>
    <row r="21" spans="2:26" x14ac:dyDescent="0.3">
      <c r="B21" s="9">
        <v>42356</v>
      </c>
      <c r="C21" s="3" t="s">
        <v>7</v>
      </c>
      <c r="D21" s="3" t="s">
        <v>11</v>
      </c>
      <c r="E21" s="3" t="s">
        <v>15</v>
      </c>
      <c r="F21" s="5" t="s">
        <v>13</v>
      </c>
      <c r="G21" s="25">
        <v>179</v>
      </c>
      <c r="H21" s="3">
        <f t="shared" si="0"/>
        <v>0</v>
      </c>
      <c r="I21" s="3">
        <f t="shared" si="1"/>
        <v>0</v>
      </c>
      <c r="J21" s="3">
        <f t="shared" si="2"/>
        <v>1</v>
      </c>
      <c r="K21" s="35">
        <f t="shared" si="3"/>
        <v>0</v>
      </c>
      <c r="L21" s="3">
        <v>18</v>
      </c>
      <c r="M21" s="35">
        <f t="shared" si="4"/>
        <v>172.88205627049467</v>
      </c>
      <c r="N21" s="35">
        <f t="shared" si="5"/>
        <v>1.0353879625305535</v>
      </c>
      <c r="O21" s="48">
        <f t="shared" si="6"/>
        <v>180.12591091298918</v>
      </c>
      <c r="R21" s="29" t="s">
        <v>16</v>
      </c>
      <c r="S21" s="29">
        <v>47.379363998667664</v>
      </c>
      <c r="T21" s="29">
        <v>7.5408881254232858</v>
      </c>
      <c r="U21" s="29">
        <v>6.2829952136450986</v>
      </c>
      <c r="V21" s="29">
        <v>5.6500748607045575E-9</v>
      </c>
      <c r="W21" s="29">
        <v>32.447652353141393</v>
      </c>
      <c r="X21" s="29">
        <v>62.311075644193934</v>
      </c>
      <c r="Y21" s="29">
        <v>32.447652353141393</v>
      </c>
      <c r="Z21" s="29">
        <v>62.311075644193934</v>
      </c>
    </row>
    <row r="22" spans="2:26" x14ac:dyDescent="0.3">
      <c r="B22" s="9">
        <v>42357</v>
      </c>
      <c r="C22" s="3" t="s">
        <v>8</v>
      </c>
      <c r="D22" s="3" t="s">
        <v>11</v>
      </c>
      <c r="E22" s="3" t="s">
        <v>12</v>
      </c>
      <c r="F22" s="5" t="s">
        <v>13</v>
      </c>
      <c r="G22" s="25">
        <v>172</v>
      </c>
      <c r="H22" s="3">
        <f t="shared" si="0"/>
        <v>0</v>
      </c>
      <c r="I22" s="3">
        <f t="shared" si="1"/>
        <v>0</v>
      </c>
      <c r="J22" s="3">
        <f t="shared" si="2"/>
        <v>1</v>
      </c>
      <c r="K22" s="35">
        <f t="shared" si="3"/>
        <v>0</v>
      </c>
      <c r="L22" s="3">
        <v>19</v>
      </c>
      <c r="M22" s="35">
        <f t="shared" si="4"/>
        <v>173.7370983729686</v>
      </c>
      <c r="N22" s="35">
        <f t="shared" si="5"/>
        <v>0.99000156909930948</v>
      </c>
      <c r="O22" s="48">
        <f t="shared" si="6"/>
        <v>175.3842149912584</v>
      </c>
      <c r="R22" s="29" t="s">
        <v>11</v>
      </c>
      <c r="S22" s="29">
        <v>31.677389391476282</v>
      </c>
      <c r="T22" s="29">
        <v>5.7989129060946505</v>
      </c>
      <c r="U22" s="29">
        <v>5.4626427236359048</v>
      </c>
      <c r="V22" s="29">
        <v>2.612456106929702E-7</v>
      </c>
      <c r="W22" s="29">
        <v>20.194962662533694</v>
      </c>
      <c r="X22" s="29">
        <v>43.159816120418867</v>
      </c>
      <c r="Y22" s="29">
        <v>20.194962662533694</v>
      </c>
      <c r="Z22" s="29">
        <v>43.159816120418867</v>
      </c>
    </row>
    <row r="23" spans="2:26" x14ac:dyDescent="0.3">
      <c r="B23" s="9">
        <v>42358</v>
      </c>
      <c r="C23" s="3" t="s">
        <v>9</v>
      </c>
      <c r="D23" s="3" t="s">
        <v>11</v>
      </c>
      <c r="E23" s="3" t="s">
        <v>12</v>
      </c>
      <c r="F23" s="5" t="s">
        <v>13</v>
      </c>
      <c r="G23" s="25">
        <v>152</v>
      </c>
      <c r="H23" s="3">
        <f t="shared" si="0"/>
        <v>0</v>
      </c>
      <c r="I23" s="3">
        <f t="shared" si="1"/>
        <v>0</v>
      </c>
      <c r="J23" s="3">
        <f t="shared" si="2"/>
        <v>1</v>
      </c>
      <c r="K23" s="35">
        <f t="shared" si="3"/>
        <v>0</v>
      </c>
      <c r="L23" s="3">
        <v>20</v>
      </c>
      <c r="M23" s="35">
        <f t="shared" si="4"/>
        <v>174.59214047544256</v>
      </c>
      <c r="N23" s="35">
        <f t="shared" si="5"/>
        <v>0.87060047254177353</v>
      </c>
      <c r="O23" s="48">
        <f t="shared" si="6"/>
        <v>146.30157818557529</v>
      </c>
      <c r="R23" s="29" t="s">
        <v>33</v>
      </c>
      <c r="S23" s="29">
        <v>-46.307692189731114</v>
      </c>
      <c r="T23" s="29">
        <v>9.8918922232143487</v>
      </c>
      <c r="U23" s="29">
        <v>-4.6813785618343031</v>
      </c>
      <c r="V23" s="29">
        <v>7.6153799071381935E-6</v>
      </c>
      <c r="W23" s="29">
        <v>-65.894626758843231</v>
      </c>
      <c r="X23" s="29">
        <v>-26.72075762061899</v>
      </c>
      <c r="Y23" s="29">
        <v>-65.894626758843231</v>
      </c>
      <c r="Z23" s="29">
        <v>-26.72075762061899</v>
      </c>
    </row>
    <row r="24" spans="2:26" ht="15" thickBot="1" x14ac:dyDescent="0.35">
      <c r="B24" s="9">
        <v>42359</v>
      </c>
      <c r="C24" s="3" t="s">
        <v>10</v>
      </c>
      <c r="D24" s="3" t="s">
        <v>14</v>
      </c>
      <c r="E24" s="3" t="s">
        <v>15</v>
      </c>
      <c r="F24" s="5" t="s">
        <v>13</v>
      </c>
      <c r="G24" s="25">
        <v>161</v>
      </c>
      <c r="H24" s="3">
        <f t="shared" si="0"/>
        <v>0</v>
      </c>
      <c r="I24" s="3">
        <f t="shared" si="1"/>
        <v>0</v>
      </c>
      <c r="J24" s="3">
        <f t="shared" si="2"/>
        <v>0</v>
      </c>
      <c r="K24" s="35">
        <f t="shared" si="3"/>
        <v>0</v>
      </c>
      <c r="L24" s="3">
        <v>21</v>
      </c>
      <c r="M24" s="35">
        <f t="shared" si="4"/>
        <v>143.76979318644021</v>
      </c>
      <c r="N24" s="35">
        <f t="shared" si="5"/>
        <v>1.1198458064916021</v>
      </c>
      <c r="O24" s="48">
        <f t="shared" si="6"/>
        <v>157.61802194507538</v>
      </c>
      <c r="R24" s="30" t="s">
        <v>34</v>
      </c>
      <c r="S24" s="30">
        <v>0.85504210247393309</v>
      </c>
      <c r="T24" s="30">
        <v>7.7986357185420616E-2</v>
      </c>
      <c r="U24" s="30">
        <v>10.963995926120543</v>
      </c>
      <c r="V24" s="30">
        <v>9.2672208020689724E-20</v>
      </c>
      <c r="W24" s="30">
        <v>0.70062132624575468</v>
      </c>
      <c r="X24" s="30">
        <v>1.0094628787021114</v>
      </c>
      <c r="Y24" s="30">
        <v>0.70062132624575468</v>
      </c>
      <c r="Z24" s="30">
        <v>1.0094628787021114</v>
      </c>
    </row>
    <row r="25" spans="2:26" x14ac:dyDescent="0.3">
      <c r="B25" s="9">
        <v>42360</v>
      </c>
      <c r="C25" s="3" t="s">
        <v>4</v>
      </c>
      <c r="D25" s="3" t="s">
        <v>14</v>
      </c>
      <c r="E25" s="3" t="s">
        <v>16</v>
      </c>
      <c r="F25" s="5" t="s">
        <v>13</v>
      </c>
      <c r="G25" s="25">
        <v>205</v>
      </c>
      <c r="H25" s="3">
        <f t="shared" si="0"/>
        <v>0</v>
      </c>
      <c r="I25" s="3">
        <f t="shared" si="1"/>
        <v>1</v>
      </c>
      <c r="J25" s="3">
        <f t="shared" si="2"/>
        <v>0</v>
      </c>
      <c r="K25" s="35">
        <f t="shared" si="3"/>
        <v>0</v>
      </c>
      <c r="L25" s="3">
        <v>22</v>
      </c>
      <c r="M25" s="35">
        <f t="shared" si="4"/>
        <v>192.0041992875818</v>
      </c>
      <c r="N25" s="35">
        <f t="shared" si="5"/>
        <v>1.0676849816860163</v>
      </c>
      <c r="O25" s="48">
        <f t="shared" si="6"/>
        <v>201.42376218163471</v>
      </c>
    </row>
    <row r="26" spans="2:26" x14ac:dyDescent="0.3">
      <c r="B26" s="9">
        <v>42361</v>
      </c>
      <c r="C26" s="3" t="s">
        <v>5</v>
      </c>
      <c r="D26" s="3" t="s">
        <v>14</v>
      </c>
      <c r="E26" s="3" t="s">
        <v>29</v>
      </c>
      <c r="F26" s="5" t="s">
        <v>13</v>
      </c>
      <c r="G26" s="25">
        <v>206</v>
      </c>
      <c r="H26" s="3">
        <f t="shared" si="0"/>
        <v>1</v>
      </c>
      <c r="I26" s="3">
        <f t="shared" si="1"/>
        <v>0</v>
      </c>
      <c r="J26" s="3">
        <f t="shared" si="2"/>
        <v>0</v>
      </c>
      <c r="K26" s="35">
        <f t="shared" si="3"/>
        <v>0</v>
      </c>
      <c r="L26" s="3">
        <v>23</v>
      </c>
      <c r="M26" s="35">
        <f t="shared" si="4"/>
        <v>214.1770928281706</v>
      </c>
      <c r="N26" s="35">
        <f t="shared" si="5"/>
        <v>0.96182088046768432</v>
      </c>
      <c r="O26" s="48">
        <f t="shared" si="6"/>
        <v>208.84725475102897</v>
      </c>
    </row>
    <row r="27" spans="2:26" x14ac:dyDescent="0.3">
      <c r="B27" s="9">
        <v>42362</v>
      </c>
      <c r="C27" s="3" t="s">
        <v>6</v>
      </c>
      <c r="D27" s="3" t="s">
        <v>26</v>
      </c>
      <c r="E27" s="3" t="s">
        <v>29</v>
      </c>
      <c r="F27" s="5" t="s">
        <v>13</v>
      </c>
      <c r="G27" s="25">
        <v>201</v>
      </c>
      <c r="H27" s="3">
        <f t="shared" si="0"/>
        <v>1</v>
      </c>
      <c r="I27" s="3">
        <f t="shared" si="1"/>
        <v>0</v>
      </c>
      <c r="J27" s="3">
        <f t="shared" si="2"/>
        <v>0</v>
      </c>
      <c r="K27" s="35">
        <f t="shared" si="3"/>
        <v>0</v>
      </c>
      <c r="L27" s="3">
        <v>24</v>
      </c>
      <c r="M27" s="35">
        <f t="shared" si="4"/>
        <v>215.03213493064453</v>
      </c>
      <c r="N27" s="35">
        <f t="shared" si="5"/>
        <v>0.93474400960967818</v>
      </c>
      <c r="O27" s="48">
        <f t="shared" si="6"/>
        <v>215.56049724990052</v>
      </c>
    </row>
    <row r="28" spans="2:26" ht="15" thickBot="1" x14ac:dyDescent="0.35">
      <c r="B28" s="9">
        <v>42363</v>
      </c>
      <c r="C28" s="3" t="s">
        <v>7</v>
      </c>
      <c r="D28" s="3" t="s">
        <v>26</v>
      </c>
      <c r="E28" s="3" t="s">
        <v>16</v>
      </c>
      <c r="F28" s="5" t="s">
        <v>30</v>
      </c>
      <c r="G28" s="25">
        <v>156</v>
      </c>
      <c r="H28" s="3">
        <f t="shared" si="0"/>
        <v>0</v>
      </c>
      <c r="I28" s="3">
        <f t="shared" si="1"/>
        <v>1</v>
      </c>
      <c r="J28" s="3">
        <f t="shared" si="2"/>
        <v>0</v>
      </c>
      <c r="K28" s="35">
        <f t="shared" si="3"/>
        <v>1</v>
      </c>
      <c r="L28" s="3">
        <v>25</v>
      </c>
      <c r="M28" s="35">
        <f t="shared" si="4"/>
        <v>148.26163340527248</v>
      </c>
      <c r="N28" s="35">
        <f t="shared" si="5"/>
        <v>1.0521939925858954</v>
      </c>
      <c r="O28" s="48">
        <f t="shared" si="6"/>
        <v>154.47387858915798</v>
      </c>
      <c r="R28" s="33"/>
    </row>
    <row r="29" spans="2:26" ht="15" thickBot="1" x14ac:dyDescent="0.35">
      <c r="B29" s="9">
        <v>42364</v>
      </c>
      <c r="C29" s="3" t="s">
        <v>8</v>
      </c>
      <c r="D29" s="3" t="s">
        <v>14</v>
      </c>
      <c r="E29" s="3" t="s">
        <v>15</v>
      </c>
      <c r="F29" s="5" t="s">
        <v>13</v>
      </c>
      <c r="G29" s="25">
        <v>162</v>
      </c>
      <c r="H29" s="3">
        <f t="shared" si="0"/>
        <v>0</v>
      </c>
      <c r="I29" s="3">
        <f t="shared" si="1"/>
        <v>0</v>
      </c>
      <c r="J29" s="3">
        <f t="shared" si="2"/>
        <v>0</v>
      </c>
      <c r="K29" s="35">
        <f t="shared" si="3"/>
        <v>0</v>
      </c>
      <c r="L29" s="3">
        <v>26</v>
      </c>
      <c r="M29" s="35">
        <f t="shared" si="4"/>
        <v>148.04500369880986</v>
      </c>
      <c r="N29" s="35">
        <f t="shared" si="5"/>
        <v>1.0942618524944001</v>
      </c>
      <c r="O29" s="48">
        <f t="shared" si="6"/>
        <v>149.44854610932953</v>
      </c>
      <c r="R29" s="51" t="s">
        <v>65</v>
      </c>
      <c r="S29" s="52" t="s">
        <v>64</v>
      </c>
      <c r="U29" s="39" t="s">
        <v>73</v>
      </c>
      <c r="V29" s="39" t="s">
        <v>72</v>
      </c>
    </row>
    <row r="30" spans="2:26" x14ac:dyDescent="0.3">
      <c r="B30" s="9">
        <v>42365</v>
      </c>
      <c r="C30" s="3" t="s">
        <v>9</v>
      </c>
      <c r="D30" s="3" t="s">
        <v>14</v>
      </c>
      <c r="E30" s="3" t="s">
        <v>29</v>
      </c>
      <c r="F30" s="5" t="s">
        <v>13</v>
      </c>
      <c r="G30" s="25">
        <v>179</v>
      </c>
      <c r="H30" s="3">
        <f t="shared" si="0"/>
        <v>1</v>
      </c>
      <c r="I30" s="3">
        <f t="shared" si="1"/>
        <v>0</v>
      </c>
      <c r="J30" s="3">
        <f t="shared" si="2"/>
        <v>0</v>
      </c>
      <c r="K30" s="35">
        <f t="shared" si="3"/>
        <v>0</v>
      </c>
      <c r="L30" s="3">
        <v>27</v>
      </c>
      <c r="M30" s="35">
        <f t="shared" si="4"/>
        <v>217.59726123806632</v>
      </c>
      <c r="N30" s="35">
        <f t="shared" si="5"/>
        <v>0.82262064780384214</v>
      </c>
      <c r="O30" s="48">
        <f t="shared" si="6"/>
        <v>182.33823493598655</v>
      </c>
      <c r="R30" s="4" t="s">
        <v>4</v>
      </c>
      <c r="S30" s="48">
        <f>SUMIF($C$4:$C$128,$R$30,$N$4:$N$128)/COUNTIF($C$4:$C$128,$R$30)</f>
        <v>1.0490591504196447</v>
      </c>
      <c r="U30" s="40" t="s">
        <v>59</v>
      </c>
      <c r="V30" s="41">
        <f>SUMXMY2($G$4:$G$128,$M$4:$M$128)/COUNT($G$4:$G$128)</f>
        <v>889.09292362709323</v>
      </c>
    </row>
    <row r="31" spans="2:26" ht="15" thickBot="1" x14ac:dyDescent="0.35">
      <c r="B31" s="9">
        <v>42366</v>
      </c>
      <c r="C31" s="3" t="s">
        <v>10</v>
      </c>
      <c r="D31" s="3" t="s">
        <v>11</v>
      </c>
      <c r="E31" s="3" t="s">
        <v>15</v>
      </c>
      <c r="F31" s="5" t="s">
        <v>13</v>
      </c>
      <c r="G31" s="25">
        <v>190</v>
      </c>
      <c r="H31" s="3">
        <f t="shared" si="0"/>
        <v>0</v>
      </c>
      <c r="I31" s="3">
        <f t="shared" si="1"/>
        <v>0</v>
      </c>
      <c r="J31" s="3">
        <f t="shared" si="2"/>
        <v>1</v>
      </c>
      <c r="K31" s="35">
        <f t="shared" si="3"/>
        <v>0</v>
      </c>
      <c r="L31" s="3">
        <v>28</v>
      </c>
      <c r="M31" s="35">
        <f t="shared" si="4"/>
        <v>181.43247729523401</v>
      </c>
      <c r="N31" s="35">
        <f t="shared" si="5"/>
        <v>1.047221549484906</v>
      </c>
      <c r="O31" s="48">
        <f t="shared" si="6"/>
        <v>198.90846021309255</v>
      </c>
      <c r="R31" s="4" t="s">
        <v>5</v>
      </c>
      <c r="S31" s="48">
        <f>SUMIF($C$4:$C$128,$R$31,$N$4:$N$128)/COUNTIF($C$4:$C$128,$R$31)</f>
        <v>0.9751148079994828</v>
      </c>
      <c r="U31" s="42" t="s">
        <v>67</v>
      </c>
      <c r="V31" s="43">
        <f>SUMXMY2($G$4:$G$128,$O$4:$O$128)/COUNT($G$4:$G$128)</f>
        <v>624.90726701717938</v>
      </c>
    </row>
    <row r="32" spans="2:26" x14ac:dyDescent="0.3">
      <c r="B32" s="9">
        <v>42367</v>
      </c>
      <c r="C32" s="3" t="s">
        <v>4</v>
      </c>
      <c r="D32" s="3" t="s">
        <v>11</v>
      </c>
      <c r="E32" s="3" t="s">
        <v>29</v>
      </c>
      <c r="F32" s="5" t="s">
        <v>13</v>
      </c>
      <c r="G32" s="25">
        <v>273</v>
      </c>
      <c r="H32" s="3">
        <f t="shared" si="0"/>
        <v>1</v>
      </c>
      <c r="I32" s="3">
        <f t="shared" si="1"/>
        <v>0</v>
      </c>
      <c r="J32" s="3">
        <f t="shared" si="2"/>
        <v>1</v>
      </c>
      <c r="K32" s="35">
        <f t="shared" si="3"/>
        <v>0</v>
      </c>
      <c r="L32" s="3">
        <v>29</v>
      </c>
      <c r="M32" s="35">
        <f t="shared" si="4"/>
        <v>250.98473483449047</v>
      </c>
      <c r="N32" s="35">
        <f t="shared" si="5"/>
        <v>1.087715554414205</v>
      </c>
      <c r="O32" s="48">
        <f t="shared" si="6"/>
        <v>263.29783269377037</v>
      </c>
      <c r="R32" s="4" t="s">
        <v>6</v>
      </c>
      <c r="S32" s="48">
        <f>SUMIF($C$4:$C$128,$R$32,$N$4:$N$128)/COUNTIF($C$4:$C$128,$R$32)</f>
        <v>1.0024571319046169</v>
      </c>
    </row>
    <row r="33" spans="2:21" x14ac:dyDescent="0.3">
      <c r="B33" s="9">
        <v>42368</v>
      </c>
      <c r="C33" s="3" t="s">
        <v>5</v>
      </c>
      <c r="D33" s="3" t="s">
        <v>11</v>
      </c>
      <c r="E33" s="3" t="s">
        <v>16</v>
      </c>
      <c r="F33" s="5" t="s">
        <v>13</v>
      </c>
      <c r="G33" s="25">
        <v>221</v>
      </c>
      <c r="H33" s="3">
        <f t="shared" si="0"/>
        <v>0</v>
      </c>
      <c r="I33" s="3">
        <f t="shared" si="1"/>
        <v>1</v>
      </c>
      <c r="J33" s="3">
        <f t="shared" si="2"/>
        <v>1</v>
      </c>
      <c r="K33" s="35">
        <f t="shared" si="3"/>
        <v>0</v>
      </c>
      <c r="L33" s="3">
        <v>30</v>
      </c>
      <c r="M33" s="35">
        <f t="shared" si="4"/>
        <v>230.52192549884955</v>
      </c>
      <c r="N33" s="35">
        <f t="shared" si="5"/>
        <v>0.95869405706965138</v>
      </c>
      <c r="O33" s="48">
        <f t="shared" si="6"/>
        <v>224.78534312248175</v>
      </c>
      <c r="R33" s="4" t="s">
        <v>7</v>
      </c>
      <c r="S33" s="48">
        <f>SUMIF($C$4:$C$128,$R$33,$N$4:$N$128)/COUNTIF($C$4:$C$128,$R$33)</f>
        <v>1.0419005580958653</v>
      </c>
    </row>
    <row r="34" spans="2:21" x14ac:dyDescent="0.3">
      <c r="B34" s="9">
        <v>42369</v>
      </c>
      <c r="C34" s="3" t="s">
        <v>6</v>
      </c>
      <c r="D34" s="3" t="s">
        <v>11</v>
      </c>
      <c r="E34" s="3" t="s">
        <v>29</v>
      </c>
      <c r="F34" s="5" t="s">
        <v>30</v>
      </c>
      <c r="G34" s="25">
        <v>199</v>
      </c>
      <c r="H34" s="3">
        <f t="shared" si="0"/>
        <v>1</v>
      </c>
      <c r="I34" s="3">
        <f t="shared" si="1"/>
        <v>0</v>
      </c>
      <c r="J34" s="3">
        <f t="shared" si="2"/>
        <v>1</v>
      </c>
      <c r="K34" s="35">
        <f t="shared" si="3"/>
        <v>1</v>
      </c>
      <c r="L34" s="3">
        <v>31</v>
      </c>
      <c r="M34" s="35">
        <f t="shared" si="4"/>
        <v>206.38712684970722</v>
      </c>
      <c r="N34" s="35">
        <f t="shared" si="5"/>
        <v>0.96420742435604245</v>
      </c>
      <c r="O34" s="48">
        <f t="shared" si="6"/>
        <v>206.89424724379185</v>
      </c>
      <c r="R34" s="4" t="s">
        <v>8</v>
      </c>
      <c r="S34" s="48">
        <f>SUMIF($C$4:$C$128,$R$34,$N$4:$N$128)/COUNTIF($C$4:$C$128,$R$34)</f>
        <v>1.0094805118406771</v>
      </c>
    </row>
    <row r="35" spans="2:21" x14ac:dyDescent="0.3">
      <c r="B35" s="9">
        <v>42370</v>
      </c>
      <c r="C35" s="3" t="s">
        <v>7</v>
      </c>
      <c r="D35" s="3" t="s">
        <v>11</v>
      </c>
      <c r="E35" s="3" t="s">
        <v>15</v>
      </c>
      <c r="F35" s="5" t="s">
        <v>30</v>
      </c>
      <c r="G35" s="25">
        <v>158</v>
      </c>
      <c r="H35" s="3">
        <f t="shared" si="0"/>
        <v>0</v>
      </c>
      <c r="I35" s="3">
        <f t="shared" si="1"/>
        <v>0</v>
      </c>
      <c r="J35" s="3">
        <f t="shared" si="2"/>
        <v>1</v>
      </c>
      <c r="K35" s="35">
        <f t="shared" si="3"/>
        <v>1</v>
      </c>
      <c r="L35" s="3">
        <v>32</v>
      </c>
      <c r="M35" s="35">
        <f t="shared" si="4"/>
        <v>138.54495351539865</v>
      </c>
      <c r="N35" s="35">
        <f t="shared" si="5"/>
        <v>1.1404240716890421</v>
      </c>
      <c r="O35" s="48">
        <f t="shared" si="6"/>
        <v>144.35006438905958</v>
      </c>
      <c r="R35" s="4" t="s">
        <v>9</v>
      </c>
      <c r="S35" s="48">
        <f>SUMIF($C$4:$C$128,$R$35,$N$4:$N$128)/COUNTIF($C$4:$C$128,$R$35)</f>
        <v>0.83796199409190175</v>
      </c>
      <c r="T35">
        <v>1</v>
      </c>
      <c r="U35" s="33" t="str">
        <f>_xlfn.CONCAT("Significance of F value is ",IF(W14&lt;0.05,"less","greater")," than 0.05 which means model is ",IF(W14&lt;0.05,"good fit","not good fit"))</f>
        <v>Significance of F value is less than 0.05 which means model is good fit</v>
      </c>
    </row>
    <row r="36" spans="2:21" ht="15" thickBot="1" x14ac:dyDescent="0.35">
      <c r="B36" s="9">
        <v>42371</v>
      </c>
      <c r="C36" s="3" t="s">
        <v>8</v>
      </c>
      <c r="D36" s="3" t="s">
        <v>11</v>
      </c>
      <c r="E36" s="3" t="s">
        <v>12</v>
      </c>
      <c r="F36" s="5" t="s">
        <v>13</v>
      </c>
      <c r="G36" s="25">
        <v>189</v>
      </c>
      <c r="H36" s="3">
        <f t="shared" ref="H36:H67" si="7">IF(E36=$H$3,1,0)</f>
        <v>0</v>
      </c>
      <c r="I36" s="3">
        <f t="shared" ref="I36:I67" si="8">IF(E36=$I$3,1,0)</f>
        <v>0</v>
      </c>
      <c r="J36" s="3">
        <f t="shared" ref="J36:J67" si="9">IF(D36=J$3,1,0)</f>
        <v>1</v>
      </c>
      <c r="K36" s="35">
        <f t="shared" ref="K36:K67" si="10">IF(F36="Yes",1,0)</f>
        <v>0</v>
      </c>
      <c r="L36" s="3">
        <v>33</v>
      </c>
      <c r="M36" s="35">
        <f t="shared" si="4"/>
        <v>185.70768780760369</v>
      </c>
      <c r="N36" s="35">
        <f t="shared" si="5"/>
        <v>1.0177284647246656</v>
      </c>
      <c r="O36" s="48">
        <f t="shared" si="6"/>
        <v>187.46829174076845</v>
      </c>
      <c r="R36" s="6" t="s">
        <v>10</v>
      </c>
      <c r="S36" s="43">
        <f>SUMIF($C$4:$C$128,$R$36,$N$4:$N$128)/COUNTIF($C$4:$C$128,$R$36)</f>
        <v>1.0963222416316398</v>
      </c>
      <c r="T36">
        <v>2</v>
      </c>
      <c r="U36" s="33" t="s">
        <v>84</v>
      </c>
    </row>
    <row r="37" spans="2:21" x14ac:dyDescent="0.3">
      <c r="B37" s="9">
        <v>42372</v>
      </c>
      <c r="C37" s="3" t="s">
        <v>9</v>
      </c>
      <c r="D37" s="3" t="s">
        <v>11</v>
      </c>
      <c r="E37" s="3" t="s">
        <v>15</v>
      </c>
      <c r="F37" s="5" t="s">
        <v>13</v>
      </c>
      <c r="G37" s="25">
        <v>154</v>
      </c>
      <c r="H37" s="3">
        <f t="shared" si="7"/>
        <v>0</v>
      </c>
      <c r="I37" s="3">
        <f t="shared" si="8"/>
        <v>0</v>
      </c>
      <c r="J37" s="3">
        <f t="shared" si="9"/>
        <v>1</v>
      </c>
      <c r="K37" s="35">
        <f t="shared" si="10"/>
        <v>0</v>
      </c>
      <c r="L37" s="3">
        <v>34</v>
      </c>
      <c r="M37" s="35">
        <f t="shared" si="4"/>
        <v>186.56272991007762</v>
      </c>
      <c r="N37" s="35">
        <f t="shared" si="5"/>
        <v>0.82545961926172118</v>
      </c>
      <c r="O37" s="48">
        <f t="shared" si="6"/>
        <v>156.33247717867752</v>
      </c>
      <c r="U37" s="29" t="s">
        <v>32</v>
      </c>
    </row>
    <row r="38" spans="2:21" x14ac:dyDescent="0.3">
      <c r="B38" s="9">
        <v>42373</v>
      </c>
      <c r="C38" s="3" t="s">
        <v>10</v>
      </c>
      <c r="D38" s="3" t="s">
        <v>11</v>
      </c>
      <c r="E38" s="3" t="s">
        <v>15</v>
      </c>
      <c r="F38" s="5" t="s">
        <v>13</v>
      </c>
      <c r="G38" s="25">
        <v>202</v>
      </c>
      <c r="H38" s="3">
        <f t="shared" si="7"/>
        <v>0</v>
      </c>
      <c r="I38" s="3">
        <f t="shared" si="8"/>
        <v>0</v>
      </c>
      <c r="J38" s="3">
        <f t="shared" si="9"/>
        <v>1</v>
      </c>
      <c r="K38" s="35">
        <f t="shared" si="10"/>
        <v>0</v>
      </c>
      <c r="L38" s="3">
        <v>35</v>
      </c>
      <c r="M38" s="35">
        <f t="shared" si="4"/>
        <v>187.41777201255155</v>
      </c>
      <c r="N38" s="35">
        <f t="shared" si="5"/>
        <v>1.0778060043658606</v>
      </c>
      <c r="O38" s="48">
        <f t="shared" si="6"/>
        <v>205.47027193440812</v>
      </c>
      <c r="U38" s="29" t="s">
        <v>16</v>
      </c>
    </row>
    <row r="39" spans="2:21" x14ac:dyDescent="0.3">
      <c r="B39" s="9">
        <v>42374</v>
      </c>
      <c r="C39" s="3" t="s">
        <v>4</v>
      </c>
      <c r="D39" s="3" t="s">
        <v>11</v>
      </c>
      <c r="E39" s="3" t="s">
        <v>12</v>
      </c>
      <c r="F39" s="5" t="s">
        <v>13</v>
      </c>
      <c r="G39" s="25">
        <v>207</v>
      </c>
      <c r="H39" s="3">
        <f t="shared" si="7"/>
        <v>0</v>
      </c>
      <c r="I39" s="3">
        <f t="shared" si="8"/>
        <v>0</v>
      </c>
      <c r="J39" s="3">
        <f t="shared" si="9"/>
        <v>1</v>
      </c>
      <c r="K39" s="35">
        <f t="shared" si="10"/>
        <v>0</v>
      </c>
      <c r="L39" s="3">
        <v>36</v>
      </c>
      <c r="M39" s="35">
        <f t="shared" si="4"/>
        <v>188.27281411502548</v>
      </c>
      <c r="N39" s="35">
        <f t="shared" si="5"/>
        <v>1.0994683484867502</v>
      </c>
      <c r="O39" s="48">
        <f t="shared" si="6"/>
        <v>197.50931842262432</v>
      </c>
      <c r="U39" s="29" t="s">
        <v>11</v>
      </c>
    </row>
    <row r="40" spans="2:21" ht="15" thickBot="1" x14ac:dyDescent="0.35">
      <c r="B40" s="9">
        <v>42375</v>
      </c>
      <c r="C40" s="3" t="s">
        <v>5</v>
      </c>
      <c r="D40" s="3" t="s">
        <v>11</v>
      </c>
      <c r="E40" s="3" t="s">
        <v>12</v>
      </c>
      <c r="F40" s="5" t="s">
        <v>13</v>
      </c>
      <c r="G40" s="25">
        <v>193</v>
      </c>
      <c r="H40" s="3">
        <f t="shared" si="7"/>
        <v>0</v>
      </c>
      <c r="I40" s="3">
        <f t="shared" si="8"/>
        <v>0</v>
      </c>
      <c r="J40" s="3">
        <f t="shared" si="9"/>
        <v>1</v>
      </c>
      <c r="K40" s="35">
        <f t="shared" si="10"/>
        <v>0</v>
      </c>
      <c r="L40" s="3">
        <v>37</v>
      </c>
      <c r="M40" s="35">
        <f t="shared" si="4"/>
        <v>189.12785621749941</v>
      </c>
      <c r="N40" s="35">
        <f t="shared" si="5"/>
        <v>1.0204736830414214</v>
      </c>
      <c r="O40" s="48">
        <f t="shared" si="6"/>
        <v>184.42137320288074</v>
      </c>
      <c r="U40" s="30" t="s">
        <v>34</v>
      </c>
    </row>
    <row r="41" spans="2:21" x14ac:dyDescent="0.3">
      <c r="B41" s="9">
        <v>42376</v>
      </c>
      <c r="C41" s="3" t="s">
        <v>6</v>
      </c>
      <c r="D41" s="3" t="s">
        <v>11</v>
      </c>
      <c r="E41" s="3" t="s">
        <v>12</v>
      </c>
      <c r="F41" s="5" t="s">
        <v>13</v>
      </c>
      <c r="G41" s="25">
        <v>198</v>
      </c>
      <c r="H41" s="3">
        <f t="shared" si="7"/>
        <v>0</v>
      </c>
      <c r="I41" s="3">
        <f t="shared" si="8"/>
        <v>0</v>
      </c>
      <c r="J41" s="3">
        <f t="shared" si="9"/>
        <v>1</v>
      </c>
      <c r="K41" s="35">
        <f t="shared" si="10"/>
        <v>0</v>
      </c>
      <c r="L41" s="3">
        <v>38</v>
      </c>
      <c r="M41" s="35">
        <f t="shared" si="4"/>
        <v>189.98289831997334</v>
      </c>
      <c r="N41" s="35">
        <f t="shared" si="5"/>
        <v>1.0421990702896009</v>
      </c>
      <c r="O41" s="48">
        <f t="shared" si="6"/>
        <v>190.44971136076694</v>
      </c>
      <c r="T41">
        <v>3</v>
      </c>
      <c r="U41" s="44" t="s">
        <v>85</v>
      </c>
    </row>
    <row r="42" spans="2:21" x14ac:dyDescent="0.3">
      <c r="B42" s="9">
        <v>42377</v>
      </c>
      <c r="C42" s="3" t="s">
        <v>7</v>
      </c>
      <c r="D42" s="3" t="s">
        <v>11</v>
      </c>
      <c r="E42" s="3" t="s">
        <v>15</v>
      </c>
      <c r="F42" s="5" t="s">
        <v>13</v>
      </c>
      <c r="G42" s="25">
        <v>198</v>
      </c>
      <c r="H42" s="3">
        <f t="shared" si="7"/>
        <v>0</v>
      </c>
      <c r="I42" s="3">
        <f t="shared" si="8"/>
        <v>0</v>
      </c>
      <c r="J42" s="3">
        <f t="shared" si="9"/>
        <v>1</v>
      </c>
      <c r="K42" s="35">
        <f t="shared" si="10"/>
        <v>0</v>
      </c>
      <c r="L42" s="3">
        <v>39</v>
      </c>
      <c r="M42" s="35">
        <f t="shared" si="4"/>
        <v>190.83794042244728</v>
      </c>
      <c r="N42" s="35">
        <f t="shared" si="5"/>
        <v>1.0375295371648765</v>
      </c>
      <c r="O42" s="48">
        <f t="shared" si="6"/>
        <v>198.8341566320133</v>
      </c>
      <c r="T42">
        <v>4</v>
      </c>
      <c r="U42" s="33" t="str">
        <f>_xlfn.CONCAT("Adjusted R square is ",ROUND(S8,3))</f>
        <v>Adjusted R square is 0.591</v>
      </c>
    </row>
    <row r="43" spans="2:21" x14ac:dyDescent="0.3">
      <c r="B43" s="9">
        <v>42378</v>
      </c>
      <c r="C43" s="3" t="s">
        <v>8</v>
      </c>
      <c r="D43" s="3" t="s">
        <v>11</v>
      </c>
      <c r="E43" s="3" t="s">
        <v>15</v>
      </c>
      <c r="F43" s="5" t="s">
        <v>13</v>
      </c>
      <c r="G43" s="25">
        <v>187</v>
      </c>
      <c r="H43" s="3">
        <f t="shared" si="7"/>
        <v>0</v>
      </c>
      <c r="I43" s="3">
        <f t="shared" si="8"/>
        <v>0</v>
      </c>
      <c r="J43" s="3">
        <f t="shared" si="9"/>
        <v>1</v>
      </c>
      <c r="K43" s="35">
        <f t="shared" si="10"/>
        <v>0</v>
      </c>
      <c r="L43" s="3">
        <v>40</v>
      </c>
      <c r="M43" s="35">
        <f t="shared" si="4"/>
        <v>191.69298252492121</v>
      </c>
      <c r="N43" s="35">
        <f t="shared" si="5"/>
        <v>0.97551823513251934</v>
      </c>
      <c r="O43" s="48">
        <f t="shared" si="6"/>
        <v>193.51033011552343</v>
      </c>
    </row>
    <row r="44" spans="2:21" x14ac:dyDescent="0.3">
      <c r="B44" s="9">
        <v>42379</v>
      </c>
      <c r="C44" s="3" t="s">
        <v>9</v>
      </c>
      <c r="D44" s="3" t="s">
        <v>14</v>
      </c>
      <c r="E44" s="3" t="s">
        <v>16</v>
      </c>
      <c r="F44" s="5" t="s">
        <v>13</v>
      </c>
      <c r="G44" s="25">
        <v>172</v>
      </c>
      <c r="H44" s="3">
        <f t="shared" si="7"/>
        <v>0</v>
      </c>
      <c r="I44" s="3">
        <f t="shared" si="8"/>
        <v>1</v>
      </c>
      <c r="J44" s="3">
        <f t="shared" si="9"/>
        <v>0</v>
      </c>
      <c r="K44" s="35">
        <f t="shared" si="10"/>
        <v>0</v>
      </c>
      <c r="L44" s="3">
        <v>41</v>
      </c>
      <c r="M44" s="35">
        <f t="shared" si="4"/>
        <v>208.24999923458651</v>
      </c>
      <c r="N44" s="35">
        <f t="shared" si="5"/>
        <v>0.82593037518452939</v>
      </c>
      <c r="O44" s="48">
        <f t="shared" si="6"/>
        <v>174.50558462825111</v>
      </c>
    </row>
    <row r="45" spans="2:21" x14ac:dyDescent="0.3">
      <c r="B45" s="9">
        <v>42380</v>
      </c>
      <c r="C45" s="3" t="s">
        <v>10</v>
      </c>
      <c r="D45" s="3" t="s">
        <v>11</v>
      </c>
      <c r="E45" s="3" t="s">
        <v>12</v>
      </c>
      <c r="F45" s="5" t="s">
        <v>13</v>
      </c>
      <c r="G45" s="25">
        <v>209</v>
      </c>
      <c r="H45" s="3">
        <f t="shared" si="7"/>
        <v>0</v>
      </c>
      <c r="I45" s="3">
        <f t="shared" si="8"/>
        <v>0</v>
      </c>
      <c r="J45" s="3">
        <f t="shared" si="9"/>
        <v>1</v>
      </c>
      <c r="K45" s="35">
        <f t="shared" si="10"/>
        <v>0</v>
      </c>
      <c r="L45" s="3">
        <v>42</v>
      </c>
      <c r="M45" s="35">
        <f t="shared" si="4"/>
        <v>193.40306672986907</v>
      </c>
      <c r="N45" s="35">
        <f t="shared" si="5"/>
        <v>1.0806447050393237</v>
      </c>
      <c r="O45" s="48">
        <f t="shared" si="6"/>
        <v>212.03208365572368</v>
      </c>
    </row>
    <row r="46" spans="2:21" x14ac:dyDescent="0.3">
      <c r="B46" s="9">
        <v>42381</v>
      </c>
      <c r="C46" s="3" t="s">
        <v>4</v>
      </c>
      <c r="D46" s="3" t="s">
        <v>11</v>
      </c>
      <c r="E46" s="3" t="s">
        <v>15</v>
      </c>
      <c r="F46" s="5" t="s">
        <v>13</v>
      </c>
      <c r="G46" s="25">
        <v>211</v>
      </c>
      <c r="H46" s="3">
        <f t="shared" si="7"/>
        <v>0</v>
      </c>
      <c r="I46" s="3">
        <f t="shared" si="8"/>
        <v>0</v>
      </c>
      <c r="J46" s="3">
        <f t="shared" si="9"/>
        <v>1</v>
      </c>
      <c r="K46" s="35">
        <f t="shared" si="10"/>
        <v>0</v>
      </c>
      <c r="L46" s="3">
        <v>43</v>
      </c>
      <c r="M46" s="35">
        <f t="shared" si="4"/>
        <v>194.258108832343</v>
      </c>
      <c r="N46" s="35">
        <f t="shared" si="5"/>
        <v>1.086183744237448</v>
      </c>
      <c r="O46" s="48">
        <f t="shared" si="6"/>
        <v>203.78824661378462</v>
      </c>
    </row>
    <row r="47" spans="2:21" x14ac:dyDescent="0.3">
      <c r="B47" s="9">
        <v>42382</v>
      </c>
      <c r="C47" s="3" t="s">
        <v>5</v>
      </c>
      <c r="D47" s="3" t="s">
        <v>11</v>
      </c>
      <c r="E47" s="3" t="s">
        <v>12</v>
      </c>
      <c r="F47" s="5" t="s">
        <v>13</v>
      </c>
      <c r="G47" s="25">
        <v>198</v>
      </c>
      <c r="H47" s="3">
        <f t="shared" si="7"/>
        <v>0</v>
      </c>
      <c r="I47" s="3">
        <f t="shared" si="8"/>
        <v>0</v>
      </c>
      <c r="J47" s="3">
        <f t="shared" si="9"/>
        <v>1</v>
      </c>
      <c r="K47" s="35">
        <f t="shared" si="10"/>
        <v>0</v>
      </c>
      <c r="L47" s="3">
        <v>44</v>
      </c>
      <c r="M47" s="35">
        <f t="shared" si="4"/>
        <v>195.11315093481693</v>
      </c>
      <c r="N47" s="35">
        <f t="shared" si="5"/>
        <v>1.0147957687698228</v>
      </c>
      <c r="O47" s="48">
        <f t="shared" si="6"/>
        <v>190.25772271197812</v>
      </c>
    </row>
    <row r="48" spans="2:21" x14ac:dyDescent="0.3">
      <c r="B48" s="9">
        <v>42383</v>
      </c>
      <c r="C48" s="3" t="s">
        <v>6</v>
      </c>
      <c r="D48" s="3" t="s">
        <v>11</v>
      </c>
      <c r="E48" s="3" t="s">
        <v>15</v>
      </c>
      <c r="F48" s="5" t="s">
        <v>13</v>
      </c>
      <c r="G48" s="25">
        <v>204</v>
      </c>
      <c r="H48" s="3">
        <f t="shared" si="7"/>
        <v>0</v>
      </c>
      <c r="I48" s="3">
        <f t="shared" si="8"/>
        <v>0</v>
      </c>
      <c r="J48" s="3">
        <f t="shared" si="9"/>
        <v>1</v>
      </c>
      <c r="K48" s="35">
        <f t="shared" si="10"/>
        <v>0</v>
      </c>
      <c r="L48" s="3">
        <v>45</v>
      </c>
      <c r="M48" s="35">
        <f t="shared" si="4"/>
        <v>195.96819303729089</v>
      </c>
      <c r="N48" s="35">
        <f t="shared" si="5"/>
        <v>1.0409852580575703</v>
      </c>
      <c r="O48" s="48">
        <f t="shared" si="6"/>
        <v>196.44971273669296</v>
      </c>
    </row>
    <row r="49" spans="2:15" x14ac:dyDescent="0.3">
      <c r="B49" s="9">
        <v>42384</v>
      </c>
      <c r="C49" s="3" t="s">
        <v>7</v>
      </c>
      <c r="D49" s="3" t="s">
        <v>11</v>
      </c>
      <c r="E49" s="3" t="s">
        <v>15</v>
      </c>
      <c r="F49" s="5" t="s">
        <v>13</v>
      </c>
      <c r="G49" s="25">
        <v>211</v>
      </c>
      <c r="H49" s="3">
        <f t="shared" si="7"/>
        <v>0</v>
      </c>
      <c r="I49" s="3">
        <f t="shared" si="8"/>
        <v>0</v>
      </c>
      <c r="J49" s="3">
        <f t="shared" si="9"/>
        <v>1</v>
      </c>
      <c r="K49" s="35">
        <f t="shared" si="10"/>
        <v>0</v>
      </c>
      <c r="L49" s="3">
        <v>46</v>
      </c>
      <c r="M49" s="35">
        <f t="shared" si="4"/>
        <v>196.82323513976482</v>
      </c>
      <c r="N49" s="35">
        <f t="shared" si="5"/>
        <v>1.0720279028549053</v>
      </c>
      <c r="O49" s="48">
        <f t="shared" si="6"/>
        <v>205.07023853835469</v>
      </c>
    </row>
    <row r="50" spans="2:15" x14ac:dyDescent="0.3">
      <c r="B50" s="9">
        <v>42385</v>
      </c>
      <c r="C50" s="3" t="s">
        <v>8</v>
      </c>
      <c r="D50" s="3" t="s">
        <v>11</v>
      </c>
      <c r="E50" s="3" t="s">
        <v>16</v>
      </c>
      <c r="F50" s="5" t="s">
        <v>13</v>
      </c>
      <c r="G50" s="25">
        <v>250</v>
      </c>
      <c r="H50" s="3">
        <f t="shared" si="7"/>
        <v>0</v>
      </c>
      <c r="I50" s="3">
        <f t="shared" si="8"/>
        <v>1</v>
      </c>
      <c r="J50" s="3">
        <f t="shared" si="9"/>
        <v>1</v>
      </c>
      <c r="K50" s="35">
        <f t="shared" si="10"/>
        <v>0</v>
      </c>
      <c r="L50" s="3">
        <v>47</v>
      </c>
      <c r="M50" s="35">
        <f t="shared" si="4"/>
        <v>245.05764124090641</v>
      </c>
      <c r="N50" s="35">
        <f t="shared" si="5"/>
        <v>1.0201681479266136</v>
      </c>
      <c r="O50" s="48">
        <f t="shared" si="6"/>
        <v>247.38091311033924</v>
      </c>
    </row>
    <row r="51" spans="2:15" x14ac:dyDescent="0.3">
      <c r="B51" s="9">
        <v>42386</v>
      </c>
      <c r="C51" s="3" t="s">
        <v>9</v>
      </c>
      <c r="D51" s="3" t="s">
        <v>11</v>
      </c>
      <c r="E51" s="3" t="s">
        <v>15</v>
      </c>
      <c r="F51" s="5" t="s">
        <v>13</v>
      </c>
      <c r="G51" s="25">
        <v>168</v>
      </c>
      <c r="H51" s="3">
        <f t="shared" si="7"/>
        <v>0</v>
      </c>
      <c r="I51" s="3">
        <f t="shared" si="8"/>
        <v>0</v>
      </c>
      <c r="J51" s="3">
        <f t="shared" si="9"/>
        <v>1</v>
      </c>
      <c r="K51" s="35">
        <f t="shared" si="10"/>
        <v>0</v>
      </c>
      <c r="L51" s="3">
        <v>48</v>
      </c>
      <c r="M51" s="35">
        <f t="shared" si="4"/>
        <v>198.53331934471268</v>
      </c>
      <c r="N51" s="35">
        <f t="shared" si="5"/>
        <v>0.84620556667519475</v>
      </c>
      <c r="O51" s="48">
        <f t="shared" si="6"/>
        <v>166.36337617177978</v>
      </c>
    </row>
    <row r="52" spans="2:15" x14ac:dyDescent="0.3">
      <c r="B52" s="9">
        <v>42387</v>
      </c>
      <c r="C52" s="3" t="s">
        <v>10</v>
      </c>
      <c r="D52" s="3" t="s">
        <v>11</v>
      </c>
      <c r="E52" s="3" t="s">
        <v>12</v>
      </c>
      <c r="F52" s="5" t="s">
        <v>30</v>
      </c>
      <c r="G52" s="25">
        <v>174</v>
      </c>
      <c r="H52" s="3">
        <f t="shared" si="7"/>
        <v>0</v>
      </c>
      <c r="I52" s="3">
        <f t="shared" si="8"/>
        <v>0</v>
      </c>
      <c r="J52" s="3">
        <f t="shared" si="9"/>
        <v>1</v>
      </c>
      <c r="K52" s="35">
        <f t="shared" si="10"/>
        <v>1</v>
      </c>
      <c r="L52" s="3">
        <v>49</v>
      </c>
      <c r="M52" s="35">
        <f t="shared" si="4"/>
        <v>153.0806692574555</v>
      </c>
      <c r="N52" s="35">
        <f t="shared" si="5"/>
        <v>1.13665560024017</v>
      </c>
      <c r="O52" s="48">
        <f t="shared" si="6"/>
        <v>167.82574247080527</v>
      </c>
    </row>
    <row r="53" spans="2:15" x14ac:dyDescent="0.3">
      <c r="B53" s="9">
        <v>42388</v>
      </c>
      <c r="C53" s="3" t="s">
        <v>4</v>
      </c>
      <c r="D53" s="3" t="s">
        <v>11</v>
      </c>
      <c r="E53" s="3" t="s">
        <v>12</v>
      </c>
      <c r="F53" s="5" t="s">
        <v>13</v>
      </c>
      <c r="G53" s="25">
        <v>220</v>
      </c>
      <c r="H53" s="3">
        <f t="shared" si="7"/>
        <v>0</v>
      </c>
      <c r="I53" s="3">
        <f t="shared" si="8"/>
        <v>0</v>
      </c>
      <c r="J53" s="3">
        <f t="shared" si="9"/>
        <v>1</v>
      </c>
      <c r="K53" s="35">
        <f t="shared" si="10"/>
        <v>0</v>
      </c>
      <c r="L53" s="3">
        <v>50</v>
      </c>
      <c r="M53" s="35">
        <f t="shared" si="4"/>
        <v>200.24340354966054</v>
      </c>
      <c r="N53" s="35">
        <f t="shared" si="5"/>
        <v>1.0986629077418764</v>
      </c>
      <c r="O53" s="48">
        <f t="shared" si="6"/>
        <v>210.06717480494495</v>
      </c>
    </row>
    <row r="54" spans="2:15" x14ac:dyDescent="0.3">
      <c r="B54" s="9">
        <v>42389</v>
      </c>
      <c r="C54" s="3" t="s">
        <v>5</v>
      </c>
      <c r="D54" s="3" t="s">
        <v>11</v>
      </c>
      <c r="E54" s="3" t="s">
        <v>15</v>
      </c>
      <c r="F54" s="5" t="s">
        <v>13</v>
      </c>
      <c r="G54" s="25">
        <v>202</v>
      </c>
      <c r="H54" s="3">
        <f t="shared" si="7"/>
        <v>0</v>
      </c>
      <c r="I54" s="3">
        <f t="shared" si="8"/>
        <v>0</v>
      </c>
      <c r="J54" s="3">
        <f t="shared" si="9"/>
        <v>1</v>
      </c>
      <c r="K54" s="35">
        <f t="shared" si="10"/>
        <v>0</v>
      </c>
      <c r="L54" s="3">
        <v>51</v>
      </c>
      <c r="M54" s="35">
        <f t="shared" si="4"/>
        <v>201.09844565213447</v>
      </c>
      <c r="N54" s="35">
        <f t="shared" si="5"/>
        <v>1.0044831492602635</v>
      </c>
      <c r="O54" s="48">
        <f t="shared" si="6"/>
        <v>196.09407222107552</v>
      </c>
    </row>
    <row r="55" spans="2:15" x14ac:dyDescent="0.3">
      <c r="B55" s="9">
        <v>42390</v>
      </c>
      <c r="C55" s="3" t="s">
        <v>6</v>
      </c>
      <c r="D55" s="3" t="s">
        <v>11</v>
      </c>
      <c r="E55" s="3" t="s">
        <v>12</v>
      </c>
      <c r="F55" s="5" t="s">
        <v>13</v>
      </c>
      <c r="G55" s="25">
        <v>211</v>
      </c>
      <c r="H55" s="3">
        <f t="shared" si="7"/>
        <v>0</v>
      </c>
      <c r="I55" s="3">
        <f t="shared" si="8"/>
        <v>0</v>
      </c>
      <c r="J55" s="3">
        <f t="shared" si="9"/>
        <v>1</v>
      </c>
      <c r="K55" s="35">
        <f t="shared" si="10"/>
        <v>0</v>
      </c>
      <c r="L55" s="3">
        <v>52</v>
      </c>
      <c r="M55" s="35">
        <f t="shared" si="4"/>
        <v>201.9534877546084</v>
      </c>
      <c r="N55" s="35">
        <f t="shared" si="5"/>
        <v>1.0447950285284695</v>
      </c>
      <c r="O55" s="48">
        <f t="shared" si="6"/>
        <v>202.44971411261892</v>
      </c>
    </row>
    <row r="56" spans="2:15" x14ac:dyDescent="0.3">
      <c r="B56" s="9">
        <v>42391</v>
      </c>
      <c r="C56" s="3" t="s">
        <v>7</v>
      </c>
      <c r="D56" s="3" t="s">
        <v>11</v>
      </c>
      <c r="E56" s="3" t="s">
        <v>12</v>
      </c>
      <c r="F56" s="5" t="s">
        <v>13</v>
      </c>
      <c r="G56" s="25">
        <v>221</v>
      </c>
      <c r="H56" s="3">
        <f t="shared" si="7"/>
        <v>0</v>
      </c>
      <c r="I56" s="3">
        <f t="shared" si="8"/>
        <v>0</v>
      </c>
      <c r="J56" s="3">
        <f t="shared" si="9"/>
        <v>1</v>
      </c>
      <c r="K56" s="35">
        <f t="shared" si="10"/>
        <v>0</v>
      </c>
      <c r="L56" s="3">
        <v>53</v>
      </c>
      <c r="M56" s="35">
        <f t="shared" si="4"/>
        <v>202.80852985708233</v>
      </c>
      <c r="N56" s="35">
        <f t="shared" si="5"/>
        <v>1.0896977565772852</v>
      </c>
      <c r="O56" s="48">
        <f t="shared" si="6"/>
        <v>211.30632044469604</v>
      </c>
    </row>
    <row r="57" spans="2:15" x14ac:dyDescent="0.3">
      <c r="B57" s="9">
        <v>42392</v>
      </c>
      <c r="C57" s="3" t="s">
        <v>8</v>
      </c>
      <c r="D57" s="3" t="s">
        <v>11</v>
      </c>
      <c r="E57" s="3" t="s">
        <v>15</v>
      </c>
      <c r="F57" s="5" t="s">
        <v>13</v>
      </c>
      <c r="G57" s="25">
        <v>207</v>
      </c>
      <c r="H57" s="3">
        <f t="shared" si="7"/>
        <v>0</v>
      </c>
      <c r="I57" s="3">
        <f t="shared" si="8"/>
        <v>0</v>
      </c>
      <c r="J57" s="3">
        <f t="shared" si="9"/>
        <v>1</v>
      </c>
      <c r="K57" s="35">
        <f t="shared" si="10"/>
        <v>0</v>
      </c>
      <c r="L57" s="3">
        <v>54</v>
      </c>
      <c r="M57" s="35">
        <f t="shared" si="4"/>
        <v>203.66357195955629</v>
      </c>
      <c r="N57" s="35">
        <f t="shared" si="5"/>
        <v>1.0163820559972614</v>
      </c>
      <c r="O57" s="48">
        <f t="shared" si="6"/>
        <v>205.59440686503345</v>
      </c>
    </row>
    <row r="58" spans="2:15" x14ac:dyDescent="0.3">
      <c r="B58" s="9">
        <v>42393</v>
      </c>
      <c r="C58" s="3" t="s">
        <v>9</v>
      </c>
      <c r="D58" s="3" t="s">
        <v>11</v>
      </c>
      <c r="E58" s="3" t="s">
        <v>12</v>
      </c>
      <c r="F58" s="5" t="s">
        <v>13</v>
      </c>
      <c r="G58" s="25">
        <v>177</v>
      </c>
      <c r="H58" s="3">
        <f t="shared" si="7"/>
        <v>0</v>
      </c>
      <c r="I58" s="3">
        <f t="shared" si="8"/>
        <v>0</v>
      </c>
      <c r="J58" s="3">
        <f t="shared" si="9"/>
        <v>1</v>
      </c>
      <c r="K58" s="35">
        <f t="shared" si="10"/>
        <v>0</v>
      </c>
      <c r="L58" s="3">
        <v>55</v>
      </c>
      <c r="M58" s="35">
        <f t="shared" si="4"/>
        <v>204.51861406203022</v>
      </c>
      <c r="N58" s="35">
        <f t="shared" si="5"/>
        <v>0.86544689739739844</v>
      </c>
      <c r="O58" s="48">
        <f t="shared" si="6"/>
        <v>171.3788256683309</v>
      </c>
    </row>
    <row r="59" spans="2:15" x14ac:dyDescent="0.3">
      <c r="B59" s="9">
        <v>42394</v>
      </c>
      <c r="C59" s="3" t="s">
        <v>10</v>
      </c>
      <c r="D59" s="3" t="s">
        <v>11</v>
      </c>
      <c r="E59" s="3" t="s">
        <v>15</v>
      </c>
      <c r="F59" s="5" t="s">
        <v>13</v>
      </c>
      <c r="G59" s="25">
        <v>222</v>
      </c>
      <c r="H59" s="3">
        <f t="shared" si="7"/>
        <v>0</v>
      </c>
      <c r="I59" s="3">
        <f t="shared" si="8"/>
        <v>0</v>
      </c>
      <c r="J59" s="3">
        <f t="shared" si="9"/>
        <v>1</v>
      </c>
      <c r="K59" s="35">
        <f t="shared" si="10"/>
        <v>0</v>
      </c>
      <c r="L59" s="3">
        <v>56</v>
      </c>
      <c r="M59" s="35">
        <f t="shared" si="4"/>
        <v>205.37365616450415</v>
      </c>
      <c r="N59" s="35">
        <f t="shared" si="5"/>
        <v>1.0809565557043896</v>
      </c>
      <c r="O59" s="48">
        <f t="shared" si="6"/>
        <v>225.15570709835484</v>
      </c>
    </row>
    <row r="60" spans="2:15" x14ac:dyDescent="0.3">
      <c r="B60" s="9">
        <v>42395</v>
      </c>
      <c r="C60" s="3" t="s">
        <v>4</v>
      </c>
      <c r="D60" s="3" t="s">
        <v>14</v>
      </c>
      <c r="E60" s="3" t="s">
        <v>15</v>
      </c>
      <c r="F60" s="5" t="s">
        <v>13</v>
      </c>
      <c r="G60" s="25">
        <v>189</v>
      </c>
      <c r="H60" s="3">
        <f t="shared" si="7"/>
        <v>0</v>
      </c>
      <c r="I60" s="3">
        <f t="shared" si="8"/>
        <v>0</v>
      </c>
      <c r="J60" s="3">
        <f t="shared" si="9"/>
        <v>0</v>
      </c>
      <c r="K60" s="35">
        <f t="shared" si="10"/>
        <v>0</v>
      </c>
      <c r="L60" s="3">
        <v>57</v>
      </c>
      <c r="M60" s="35">
        <f t="shared" si="4"/>
        <v>174.5513088755018</v>
      </c>
      <c r="N60" s="35">
        <f t="shared" si="5"/>
        <v>1.0827761832184466</v>
      </c>
      <c r="O60" s="48">
        <f t="shared" si="6"/>
        <v>183.1146477935709</v>
      </c>
    </row>
    <row r="61" spans="2:15" x14ac:dyDescent="0.3">
      <c r="B61" s="9">
        <v>42396</v>
      </c>
      <c r="C61" s="3" t="s">
        <v>5</v>
      </c>
      <c r="D61" s="3" t="s">
        <v>14</v>
      </c>
      <c r="E61" s="3" t="s">
        <v>15</v>
      </c>
      <c r="F61" s="5" t="s">
        <v>13</v>
      </c>
      <c r="G61" s="25">
        <v>179</v>
      </c>
      <c r="H61" s="3">
        <f t="shared" si="7"/>
        <v>0</v>
      </c>
      <c r="I61" s="3">
        <f t="shared" si="8"/>
        <v>0</v>
      </c>
      <c r="J61" s="3">
        <f t="shared" si="9"/>
        <v>0</v>
      </c>
      <c r="K61" s="35">
        <f t="shared" si="10"/>
        <v>0</v>
      </c>
      <c r="L61" s="3">
        <v>58</v>
      </c>
      <c r="M61" s="35">
        <f t="shared" si="4"/>
        <v>175.40635097797573</v>
      </c>
      <c r="N61" s="35">
        <f t="shared" si="5"/>
        <v>1.0204875650282212</v>
      </c>
      <c r="O61" s="48">
        <f t="shared" si="6"/>
        <v>171.04133025577869</v>
      </c>
    </row>
    <row r="62" spans="2:15" x14ac:dyDescent="0.3">
      <c r="B62" s="9">
        <v>42397</v>
      </c>
      <c r="C62" s="3" t="s">
        <v>6</v>
      </c>
      <c r="D62" s="3" t="s">
        <v>11</v>
      </c>
      <c r="E62" s="3" t="s">
        <v>15</v>
      </c>
      <c r="F62" s="5" t="s">
        <v>13</v>
      </c>
      <c r="G62" s="25">
        <v>213</v>
      </c>
      <c r="H62" s="3">
        <f t="shared" si="7"/>
        <v>0</v>
      </c>
      <c r="I62" s="3">
        <f t="shared" si="8"/>
        <v>0</v>
      </c>
      <c r="J62" s="3">
        <f t="shared" si="9"/>
        <v>1</v>
      </c>
      <c r="K62" s="35">
        <f t="shared" si="10"/>
        <v>0</v>
      </c>
      <c r="L62" s="3">
        <v>59</v>
      </c>
      <c r="M62" s="35">
        <f t="shared" si="4"/>
        <v>207.93878247192595</v>
      </c>
      <c r="N62" s="35">
        <f t="shared" si="5"/>
        <v>1.0243399401877202</v>
      </c>
      <c r="O62" s="48">
        <f t="shared" si="6"/>
        <v>208.44971548854491</v>
      </c>
    </row>
    <row r="63" spans="2:15" x14ac:dyDescent="0.3">
      <c r="B63" s="9">
        <v>42398</v>
      </c>
      <c r="C63" s="3" t="s">
        <v>7</v>
      </c>
      <c r="D63" s="3" t="s">
        <v>11</v>
      </c>
      <c r="E63" s="3" t="s">
        <v>15</v>
      </c>
      <c r="F63" s="5" t="s">
        <v>13</v>
      </c>
      <c r="G63" s="25">
        <v>226</v>
      </c>
      <c r="H63" s="3">
        <f t="shared" si="7"/>
        <v>0</v>
      </c>
      <c r="I63" s="3">
        <f t="shared" si="8"/>
        <v>0</v>
      </c>
      <c r="J63" s="3">
        <f t="shared" si="9"/>
        <v>1</v>
      </c>
      <c r="K63" s="35">
        <f t="shared" si="10"/>
        <v>0</v>
      </c>
      <c r="L63" s="3">
        <v>60</v>
      </c>
      <c r="M63" s="35">
        <f t="shared" si="4"/>
        <v>208.79382457439988</v>
      </c>
      <c r="N63" s="35">
        <f t="shared" si="5"/>
        <v>1.0824074919872404</v>
      </c>
      <c r="O63" s="48">
        <f t="shared" si="6"/>
        <v>217.54240235103742</v>
      </c>
    </row>
    <row r="64" spans="2:15" x14ac:dyDescent="0.3">
      <c r="B64" s="9">
        <v>42399</v>
      </c>
      <c r="C64" s="3" t="s">
        <v>8</v>
      </c>
      <c r="D64" s="3" t="s">
        <v>11</v>
      </c>
      <c r="E64" s="3" t="s">
        <v>15</v>
      </c>
      <c r="F64" s="5" t="s">
        <v>13</v>
      </c>
      <c r="G64" s="25">
        <v>207</v>
      </c>
      <c r="H64" s="3">
        <f t="shared" si="7"/>
        <v>0</v>
      </c>
      <c r="I64" s="3">
        <f t="shared" si="8"/>
        <v>0</v>
      </c>
      <c r="J64" s="3">
        <f t="shared" si="9"/>
        <v>1</v>
      </c>
      <c r="K64" s="35">
        <f t="shared" si="10"/>
        <v>0</v>
      </c>
      <c r="L64" s="3">
        <v>61</v>
      </c>
      <c r="M64" s="35">
        <f t="shared" si="4"/>
        <v>209.64886667687381</v>
      </c>
      <c r="N64" s="35">
        <f t="shared" si="5"/>
        <v>0.98736522300902085</v>
      </c>
      <c r="O64" s="48">
        <f t="shared" si="6"/>
        <v>211.63644523978846</v>
      </c>
    </row>
    <row r="65" spans="2:15" x14ac:dyDescent="0.3">
      <c r="B65" s="9">
        <v>42400</v>
      </c>
      <c r="C65" s="3" t="s">
        <v>9</v>
      </c>
      <c r="D65" s="3" t="s">
        <v>14</v>
      </c>
      <c r="E65" s="3" t="s">
        <v>15</v>
      </c>
      <c r="F65" s="5" t="s">
        <v>13</v>
      </c>
      <c r="G65" s="25">
        <v>161</v>
      </c>
      <c r="H65" s="3">
        <f t="shared" si="7"/>
        <v>0</v>
      </c>
      <c r="I65" s="3">
        <f t="shared" si="8"/>
        <v>0</v>
      </c>
      <c r="J65" s="3">
        <f t="shared" si="9"/>
        <v>0</v>
      </c>
      <c r="K65" s="35">
        <f t="shared" si="10"/>
        <v>0</v>
      </c>
      <c r="L65" s="3">
        <v>62</v>
      </c>
      <c r="M65" s="35">
        <f t="shared" si="4"/>
        <v>178.82651938787146</v>
      </c>
      <c r="N65" s="35">
        <f t="shared" si="5"/>
        <v>0.90031389388502236</v>
      </c>
      <c r="O65" s="48">
        <f t="shared" si="6"/>
        <v>149.8498267827749</v>
      </c>
    </row>
    <row r="66" spans="2:15" x14ac:dyDescent="0.3">
      <c r="B66" s="9">
        <v>42401</v>
      </c>
      <c r="C66" s="3" t="s">
        <v>10</v>
      </c>
      <c r="D66" s="3" t="s">
        <v>26</v>
      </c>
      <c r="E66" s="3" t="s">
        <v>15</v>
      </c>
      <c r="F66" s="5" t="s">
        <v>13</v>
      </c>
      <c r="G66" s="25">
        <v>186</v>
      </c>
      <c r="H66" s="3">
        <f t="shared" si="7"/>
        <v>0</v>
      </c>
      <c r="I66" s="3">
        <f t="shared" si="8"/>
        <v>0</v>
      </c>
      <c r="J66" s="3">
        <f t="shared" si="9"/>
        <v>0</v>
      </c>
      <c r="K66" s="35">
        <f t="shared" si="10"/>
        <v>0</v>
      </c>
      <c r="L66" s="3">
        <v>63</v>
      </c>
      <c r="M66" s="35">
        <f t="shared" si="4"/>
        <v>179.68156149034539</v>
      </c>
      <c r="N66" s="35">
        <f t="shared" si="5"/>
        <v>1.0351646460396222</v>
      </c>
      <c r="O66" s="48">
        <f t="shared" si="6"/>
        <v>196.9888922729688</v>
      </c>
    </row>
    <row r="67" spans="2:15" x14ac:dyDescent="0.3">
      <c r="B67" s="9">
        <v>42402</v>
      </c>
      <c r="C67" s="3" t="s">
        <v>4</v>
      </c>
      <c r="D67" s="3" t="s">
        <v>14</v>
      </c>
      <c r="E67" s="3" t="s">
        <v>15</v>
      </c>
      <c r="F67" s="5" t="s">
        <v>13</v>
      </c>
      <c r="G67" s="25">
        <v>204</v>
      </c>
      <c r="H67" s="3">
        <f t="shared" si="7"/>
        <v>0</v>
      </c>
      <c r="I67" s="3">
        <f t="shared" si="8"/>
        <v>0</v>
      </c>
      <c r="J67" s="3">
        <f t="shared" si="9"/>
        <v>0</v>
      </c>
      <c r="K67" s="35">
        <f t="shared" si="10"/>
        <v>0</v>
      </c>
      <c r="L67" s="3">
        <v>64</v>
      </c>
      <c r="M67" s="35">
        <f t="shared" si="4"/>
        <v>180.53660359281932</v>
      </c>
      <c r="N67" s="35">
        <f t="shared" si="5"/>
        <v>1.1299647602770895</v>
      </c>
      <c r="O67" s="48">
        <f t="shared" si="6"/>
        <v>189.3935759847312</v>
      </c>
    </row>
    <row r="68" spans="2:15" x14ac:dyDescent="0.3">
      <c r="B68" s="9">
        <v>42403</v>
      </c>
      <c r="C68" s="3" t="s">
        <v>5</v>
      </c>
      <c r="D68" s="3" t="s">
        <v>14</v>
      </c>
      <c r="E68" s="3" t="s">
        <v>16</v>
      </c>
      <c r="F68" s="5" t="s">
        <v>13</v>
      </c>
      <c r="G68" s="25">
        <v>230</v>
      </c>
      <c r="H68" s="3">
        <f t="shared" ref="H68:H99" si="11">IF(E68=$H$3,1,0)</f>
        <v>0</v>
      </c>
      <c r="I68" s="3">
        <f t="shared" ref="I68:I99" si="12">IF(E68=$I$3,1,0)</f>
        <v>1</v>
      </c>
      <c r="J68" s="3">
        <f t="shared" ref="J68:J99" si="13">IF(D68=J$3,1,0)</f>
        <v>0</v>
      </c>
      <c r="K68" s="35">
        <f t="shared" ref="K68:K99" si="14">IF(F68="Yes",1,0)</f>
        <v>0</v>
      </c>
      <c r="L68" s="3">
        <v>65</v>
      </c>
      <c r="M68" s="35">
        <f t="shared" si="4"/>
        <v>228.77100969396091</v>
      </c>
      <c r="N68" s="35">
        <f t="shared" si="5"/>
        <v>1.005372141809765</v>
      </c>
      <c r="O68" s="48">
        <f t="shared" si="6"/>
        <v>223.0779991935745</v>
      </c>
    </row>
    <row r="69" spans="2:15" x14ac:dyDescent="0.3">
      <c r="B69" s="9">
        <v>42404</v>
      </c>
      <c r="C69" s="3" t="s">
        <v>6</v>
      </c>
      <c r="D69" s="3" t="s">
        <v>14</v>
      </c>
      <c r="E69" s="3" t="s">
        <v>15</v>
      </c>
      <c r="F69" s="5" t="s">
        <v>13</v>
      </c>
      <c r="G69" s="25">
        <v>194</v>
      </c>
      <c r="H69" s="3">
        <f t="shared" si="11"/>
        <v>0</v>
      </c>
      <c r="I69" s="3">
        <f t="shared" si="12"/>
        <v>0</v>
      </c>
      <c r="J69" s="3">
        <f t="shared" si="13"/>
        <v>0</v>
      </c>
      <c r="K69" s="35">
        <f t="shared" si="14"/>
        <v>0</v>
      </c>
      <c r="L69" s="3">
        <v>66</v>
      </c>
      <c r="M69" s="35">
        <f t="shared" ref="M69:M138" si="15">$S$19+$S$20*H69+$S$21*I69+$S$22*J69+$S$23*K69+$S$24*L69</f>
        <v>182.24668779776721</v>
      </c>
      <c r="N69" s="35">
        <f t="shared" ref="N69:N138" si="16">G69/M69</f>
        <v>1.0644912252960945</v>
      </c>
      <c r="O69" s="48">
        <f t="shared" ref="O69:O138" si="17">VLOOKUP(C69,$R$30:$S$36,2,FALSE)*M69</f>
        <v>182.69449194886587</v>
      </c>
    </row>
    <row r="70" spans="2:15" x14ac:dyDescent="0.3">
      <c r="B70" s="9">
        <v>42405</v>
      </c>
      <c r="C70" s="3" t="s">
        <v>7</v>
      </c>
      <c r="D70" s="3" t="s">
        <v>11</v>
      </c>
      <c r="E70" s="3" t="s">
        <v>16</v>
      </c>
      <c r="F70" s="5" t="s">
        <v>13</v>
      </c>
      <c r="G70" s="25">
        <v>297</v>
      </c>
      <c r="H70" s="3">
        <f t="shared" si="11"/>
        <v>0</v>
      </c>
      <c r="I70" s="3">
        <f t="shared" si="12"/>
        <v>1</v>
      </c>
      <c r="J70" s="3">
        <f t="shared" si="13"/>
        <v>1</v>
      </c>
      <c r="K70" s="35">
        <f t="shared" si="14"/>
        <v>0</v>
      </c>
      <c r="L70" s="3">
        <v>67</v>
      </c>
      <c r="M70" s="35">
        <f t="shared" si="15"/>
        <v>262.15848329038505</v>
      </c>
      <c r="N70" s="35">
        <f t="shared" si="16"/>
        <v>1.1329024957434699</v>
      </c>
      <c r="O70" s="48">
        <f t="shared" si="17"/>
        <v>273.14307004981777</v>
      </c>
    </row>
    <row r="71" spans="2:15" x14ac:dyDescent="0.3">
      <c r="B71" s="9">
        <v>42406</v>
      </c>
      <c r="C71" s="3" t="s">
        <v>8</v>
      </c>
      <c r="D71" s="3" t="s">
        <v>11</v>
      </c>
      <c r="E71" s="3" t="s">
        <v>15</v>
      </c>
      <c r="F71" s="5" t="s">
        <v>13</v>
      </c>
      <c r="G71" s="25">
        <v>217</v>
      </c>
      <c r="H71" s="3">
        <f t="shared" si="11"/>
        <v>0</v>
      </c>
      <c r="I71" s="3">
        <f t="shared" si="12"/>
        <v>0</v>
      </c>
      <c r="J71" s="3">
        <f t="shared" si="13"/>
        <v>1</v>
      </c>
      <c r="K71" s="35">
        <f t="shared" si="14"/>
        <v>0</v>
      </c>
      <c r="L71" s="3">
        <v>68</v>
      </c>
      <c r="M71" s="35">
        <f t="shared" si="15"/>
        <v>215.63416139419132</v>
      </c>
      <c r="N71" s="35">
        <f t="shared" si="16"/>
        <v>1.006334054850019</v>
      </c>
      <c r="O71" s="48">
        <f t="shared" si="17"/>
        <v>217.67848361454344</v>
      </c>
    </row>
    <row r="72" spans="2:15" x14ac:dyDescent="0.3">
      <c r="B72" s="9">
        <v>42407</v>
      </c>
      <c r="C72" s="3" t="s">
        <v>9</v>
      </c>
      <c r="D72" s="3" t="s">
        <v>11</v>
      </c>
      <c r="E72" s="3" t="s">
        <v>15</v>
      </c>
      <c r="F72" s="5" t="s">
        <v>13</v>
      </c>
      <c r="G72" s="25">
        <v>177</v>
      </c>
      <c r="H72" s="3">
        <f t="shared" si="11"/>
        <v>0</v>
      </c>
      <c r="I72" s="3">
        <f t="shared" si="12"/>
        <v>0</v>
      </c>
      <c r="J72" s="3">
        <f t="shared" si="13"/>
        <v>1</v>
      </c>
      <c r="K72" s="35">
        <f t="shared" si="14"/>
        <v>0</v>
      </c>
      <c r="L72" s="3">
        <v>69</v>
      </c>
      <c r="M72" s="35">
        <f t="shared" si="15"/>
        <v>216.48920349666528</v>
      </c>
      <c r="N72" s="35">
        <f t="shared" si="16"/>
        <v>0.8175927350701645</v>
      </c>
      <c r="O72" s="48">
        <f t="shared" si="17"/>
        <v>181.40972466143316</v>
      </c>
    </row>
    <row r="73" spans="2:15" x14ac:dyDescent="0.3">
      <c r="B73" s="9">
        <v>42408</v>
      </c>
      <c r="C73" s="3" t="s">
        <v>10</v>
      </c>
      <c r="D73" s="3" t="s">
        <v>11</v>
      </c>
      <c r="E73" s="3" t="s">
        <v>15</v>
      </c>
      <c r="F73" s="5" t="s">
        <v>30</v>
      </c>
      <c r="G73" s="25">
        <v>182</v>
      </c>
      <c r="H73" s="3">
        <f t="shared" si="11"/>
        <v>0</v>
      </c>
      <c r="I73" s="3">
        <f t="shared" si="12"/>
        <v>0</v>
      </c>
      <c r="J73" s="3">
        <f t="shared" si="13"/>
        <v>1</v>
      </c>
      <c r="K73" s="35">
        <f t="shared" si="14"/>
        <v>1</v>
      </c>
      <c r="L73" s="3">
        <v>70</v>
      </c>
      <c r="M73" s="35">
        <f t="shared" si="15"/>
        <v>171.0365534094081</v>
      </c>
      <c r="N73" s="35">
        <f t="shared" si="16"/>
        <v>1.0641000205631415</v>
      </c>
      <c r="O73" s="48">
        <f t="shared" si="17"/>
        <v>187.51117763475199</v>
      </c>
    </row>
    <row r="74" spans="2:15" x14ac:dyDescent="0.3">
      <c r="B74" s="9">
        <v>42409</v>
      </c>
      <c r="C74" s="3" t="s">
        <v>4</v>
      </c>
      <c r="D74" s="3" t="s">
        <v>11</v>
      </c>
      <c r="E74" s="3" t="s">
        <v>15</v>
      </c>
      <c r="F74" s="5" t="s">
        <v>13</v>
      </c>
      <c r="G74" s="25">
        <v>236</v>
      </c>
      <c r="H74" s="3">
        <f t="shared" si="11"/>
        <v>0</v>
      </c>
      <c r="I74" s="3">
        <f t="shared" si="12"/>
        <v>0</v>
      </c>
      <c r="J74" s="3">
        <f t="shared" si="13"/>
        <v>1</v>
      </c>
      <c r="K74" s="35">
        <f t="shared" si="14"/>
        <v>0</v>
      </c>
      <c r="L74" s="3">
        <v>71</v>
      </c>
      <c r="M74" s="35">
        <f t="shared" si="15"/>
        <v>218.19928770161314</v>
      </c>
      <c r="N74" s="35">
        <f t="shared" si="16"/>
        <v>1.0815800660299555</v>
      </c>
      <c r="O74" s="48">
        <f t="shared" si="17"/>
        <v>228.90395937842592</v>
      </c>
    </row>
    <row r="75" spans="2:15" x14ac:dyDescent="0.3">
      <c r="B75" s="9">
        <v>42410</v>
      </c>
      <c r="C75" s="3" t="s">
        <v>5</v>
      </c>
      <c r="D75" s="3" t="s">
        <v>11</v>
      </c>
      <c r="E75" s="3" t="s">
        <v>16</v>
      </c>
      <c r="F75" s="5" t="s">
        <v>30</v>
      </c>
      <c r="G75" s="25">
        <v>214</v>
      </c>
      <c r="H75" s="3">
        <f t="shared" si="11"/>
        <v>0</v>
      </c>
      <c r="I75" s="3">
        <f t="shared" si="12"/>
        <v>1</v>
      </c>
      <c r="J75" s="3">
        <f t="shared" si="13"/>
        <v>1</v>
      </c>
      <c r="K75" s="35">
        <f t="shared" si="14"/>
        <v>1</v>
      </c>
      <c r="L75" s="3">
        <v>72</v>
      </c>
      <c r="M75" s="35">
        <f t="shared" si="15"/>
        <v>220.12600161302362</v>
      </c>
      <c r="N75" s="35">
        <f t="shared" si="16"/>
        <v>0.97217047705344239</v>
      </c>
      <c r="O75" s="48">
        <f t="shared" si="17"/>
        <v>214.64812379857736</v>
      </c>
    </row>
    <row r="76" spans="2:15" x14ac:dyDescent="0.3">
      <c r="B76" s="9">
        <v>42411</v>
      </c>
      <c r="C76" s="3" t="s">
        <v>6</v>
      </c>
      <c r="D76" s="3" t="s">
        <v>11</v>
      </c>
      <c r="E76" s="3" t="s">
        <v>12</v>
      </c>
      <c r="F76" s="5" t="s">
        <v>13</v>
      </c>
      <c r="G76" s="25">
        <v>239</v>
      </c>
      <c r="H76" s="3">
        <f t="shared" si="11"/>
        <v>0</v>
      </c>
      <c r="I76" s="3">
        <f t="shared" si="12"/>
        <v>0</v>
      </c>
      <c r="J76" s="3">
        <f t="shared" si="13"/>
        <v>1</v>
      </c>
      <c r="K76" s="35">
        <f t="shared" si="14"/>
        <v>0</v>
      </c>
      <c r="L76" s="3">
        <v>73</v>
      </c>
      <c r="M76" s="35">
        <f t="shared" si="15"/>
        <v>219.90937190656101</v>
      </c>
      <c r="N76" s="35">
        <f t="shared" si="16"/>
        <v>1.0868113438182643</v>
      </c>
      <c r="O76" s="48">
        <f t="shared" si="17"/>
        <v>220.44971824039689</v>
      </c>
    </row>
    <row r="77" spans="2:15" x14ac:dyDescent="0.3">
      <c r="B77" s="9">
        <v>42412</v>
      </c>
      <c r="C77" s="3" t="s">
        <v>7</v>
      </c>
      <c r="D77" s="3" t="s">
        <v>11</v>
      </c>
      <c r="E77" s="3" t="s">
        <v>15</v>
      </c>
      <c r="F77" s="5" t="s">
        <v>13</v>
      </c>
      <c r="G77" s="25">
        <v>243</v>
      </c>
      <c r="H77" s="3">
        <f t="shared" si="11"/>
        <v>0</v>
      </c>
      <c r="I77" s="3">
        <f t="shared" si="12"/>
        <v>0</v>
      </c>
      <c r="J77" s="3">
        <f t="shared" si="13"/>
        <v>1</v>
      </c>
      <c r="K77" s="35">
        <f t="shared" si="14"/>
        <v>0</v>
      </c>
      <c r="L77" s="3">
        <v>74</v>
      </c>
      <c r="M77" s="35">
        <f t="shared" si="15"/>
        <v>220.76441400903494</v>
      </c>
      <c r="N77" s="35">
        <f t="shared" si="16"/>
        <v>1.1007208797250043</v>
      </c>
      <c r="O77" s="48">
        <f t="shared" si="17"/>
        <v>230.01456616372016</v>
      </c>
    </row>
    <row r="78" spans="2:15" x14ac:dyDescent="0.3">
      <c r="B78" s="9">
        <v>42413</v>
      </c>
      <c r="C78" s="3" t="s">
        <v>8</v>
      </c>
      <c r="D78" s="3" t="s">
        <v>11</v>
      </c>
      <c r="E78" s="3" t="s">
        <v>12</v>
      </c>
      <c r="F78" s="5" t="s">
        <v>13</v>
      </c>
      <c r="G78" s="25">
        <v>230</v>
      </c>
      <c r="H78" s="3">
        <f t="shared" si="11"/>
        <v>0</v>
      </c>
      <c r="I78" s="3">
        <f t="shared" si="12"/>
        <v>0</v>
      </c>
      <c r="J78" s="3">
        <f t="shared" si="13"/>
        <v>1</v>
      </c>
      <c r="K78" s="35">
        <f t="shared" si="14"/>
        <v>0</v>
      </c>
      <c r="L78" s="3">
        <v>75</v>
      </c>
      <c r="M78" s="35">
        <f t="shared" si="15"/>
        <v>221.61945611150887</v>
      </c>
      <c r="N78" s="35">
        <f t="shared" si="16"/>
        <v>1.0378150187512165</v>
      </c>
      <c r="O78" s="48">
        <f t="shared" si="17"/>
        <v>223.72052198929845</v>
      </c>
    </row>
    <row r="79" spans="2:15" x14ac:dyDescent="0.3">
      <c r="B79" s="9">
        <v>42414</v>
      </c>
      <c r="C79" s="3" t="s">
        <v>9</v>
      </c>
      <c r="D79" s="3" t="s">
        <v>11</v>
      </c>
      <c r="E79" s="3" t="s">
        <v>12</v>
      </c>
      <c r="F79" s="5" t="s">
        <v>30</v>
      </c>
      <c r="G79" s="25">
        <v>152</v>
      </c>
      <c r="H79" s="3">
        <f t="shared" si="11"/>
        <v>0</v>
      </c>
      <c r="I79" s="3">
        <f t="shared" si="12"/>
        <v>0</v>
      </c>
      <c r="J79" s="3">
        <f t="shared" si="13"/>
        <v>1</v>
      </c>
      <c r="K79" s="35">
        <f t="shared" si="14"/>
        <v>1</v>
      </c>
      <c r="L79" s="3">
        <v>76</v>
      </c>
      <c r="M79" s="35">
        <f t="shared" si="15"/>
        <v>176.16680602425168</v>
      </c>
      <c r="N79" s="35">
        <f t="shared" si="16"/>
        <v>0.86281861736810506</v>
      </c>
      <c r="O79" s="48">
        <f t="shared" si="17"/>
        <v>147.62108806888318</v>
      </c>
    </row>
    <row r="80" spans="2:15" x14ac:dyDescent="0.3">
      <c r="B80" s="9">
        <v>42415</v>
      </c>
      <c r="C80" s="3" t="s">
        <v>10</v>
      </c>
      <c r="D80" s="3" t="s">
        <v>11</v>
      </c>
      <c r="E80" s="3" t="s">
        <v>15</v>
      </c>
      <c r="F80" s="5" t="s">
        <v>30</v>
      </c>
      <c r="G80" s="25">
        <v>187</v>
      </c>
      <c r="H80" s="3">
        <f t="shared" si="11"/>
        <v>0</v>
      </c>
      <c r="I80" s="3">
        <f t="shared" si="12"/>
        <v>0</v>
      </c>
      <c r="J80" s="3">
        <f t="shared" si="13"/>
        <v>1</v>
      </c>
      <c r="K80" s="35">
        <f t="shared" si="14"/>
        <v>1</v>
      </c>
      <c r="L80" s="3">
        <v>77</v>
      </c>
      <c r="M80" s="35">
        <f t="shared" si="15"/>
        <v>177.02184812672562</v>
      </c>
      <c r="N80" s="35">
        <f t="shared" si="16"/>
        <v>1.0563667817213798</v>
      </c>
      <c r="O80" s="48">
        <f t="shared" si="17"/>
        <v>194.07298935606752</v>
      </c>
    </row>
    <row r="81" spans="2:15" x14ac:dyDescent="0.3">
      <c r="B81" s="9">
        <v>42416</v>
      </c>
      <c r="C81" s="3" t="s">
        <v>4</v>
      </c>
      <c r="D81" s="3" t="s">
        <v>11</v>
      </c>
      <c r="E81" s="3" t="s">
        <v>29</v>
      </c>
      <c r="F81" s="5" t="s">
        <v>13</v>
      </c>
      <c r="G81" s="25">
        <v>350</v>
      </c>
      <c r="H81" s="3">
        <f t="shared" si="11"/>
        <v>1</v>
      </c>
      <c r="I81" s="3">
        <f t="shared" si="12"/>
        <v>0</v>
      </c>
      <c r="J81" s="3">
        <f t="shared" si="13"/>
        <v>1</v>
      </c>
      <c r="K81" s="35">
        <f t="shared" si="14"/>
        <v>0</v>
      </c>
      <c r="L81" s="3">
        <v>78</v>
      </c>
      <c r="M81" s="35">
        <f t="shared" si="15"/>
        <v>292.88179785571322</v>
      </c>
      <c r="N81" s="35">
        <f t="shared" si="16"/>
        <v>1.1950213450015279</v>
      </c>
      <c r="O81" s="48">
        <f t="shared" si="17"/>
        <v>307.25033003189264</v>
      </c>
    </row>
    <row r="82" spans="2:15" x14ac:dyDescent="0.3">
      <c r="B82" s="9">
        <v>42417</v>
      </c>
      <c r="C82" s="3" t="s">
        <v>5</v>
      </c>
      <c r="D82" s="3" t="s">
        <v>11</v>
      </c>
      <c r="E82" s="3" t="s">
        <v>15</v>
      </c>
      <c r="F82" s="5" t="s">
        <v>13</v>
      </c>
      <c r="G82" s="25">
        <v>228</v>
      </c>
      <c r="H82" s="3">
        <f t="shared" si="11"/>
        <v>0</v>
      </c>
      <c r="I82" s="3">
        <f t="shared" si="12"/>
        <v>0</v>
      </c>
      <c r="J82" s="3">
        <f t="shared" si="13"/>
        <v>1</v>
      </c>
      <c r="K82" s="35">
        <f t="shared" si="14"/>
        <v>0</v>
      </c>
      <c r="L82" s="3">
        <v>79</v>
      </c>
      <c r="M82" s="35">
        <f t="shared" si="15"/>
        <v>225.03962452140462</v>
      </c>
      <c r="N82" s="35">
        <f t="shared" si="16"/>
        <v>1.0131549076518913</v>
      </c>
      <c r="O82" s="48">
        <f t="shared" si="17"/>
        <v>219.43947025746516</v>
      </c>
    </row>
    <row r="83" spans="2:15" x14ac:dyDescent="0.3">
      <c r="B83" s="9">
        <v>42418</v>
      </c>
      <c r="C83" s="3" t="s">
        <v>6</v>
      </c>
      <c r="D83" s="3" t="s">
        <v>11</v>
      </c>
      <c r="E83" s="3" t="s">
        <v>12</v>
      </c>
      <c r="F83" s="5" t="s">
        <v>13</v>
      </c>
      <c r="G83" s="25">
        <v>239</v>
      </c>
      <c r="H83" s="3">
        <f t="shared" si="11"/>
        <v>0</v>
      </c>
      <c r="I83" s="3">
        <f t="shared" si="12"/>
        <v>0</v>
      </c>
      <c r="J83" s="3">
        <f t="shared" si="13"/>
        <v>1</v>
      </c>
      <c r="K83" s="35">
        <f t="shared" si="14"/>
        <v>0</v>
      </c>
      <c r="L83" s="3">
        <v>80</v>
      </c>
      <c r="M83" s="35">
        <f t="shared" si="15"/>
        <v>225.89466662387855</v>
      </c>
      <c r="N83" s="35">
        <f t="shared" si="16"/>
        <v>1.0580152403418281</v>
      </c>
      <c r="O83" s="48">
        <f t="shared" si="17"/>
        <v>226.44971961632288</v>
      </c>
    </row>
    <row r="84" spans="2:15" x14ac:dyDescent="0.3">
      <c r="B84" s="9">
        <v>42419</v>
      </c>
      <c r="C84" s="3" t="s">
        <v>7</v>
      </c>
      <c r="D84" s="3" t="s">
        <v>11</v>
      </c>
      <c r="E84" s="3" t="s">
        <v>12</v>
      </c>
      <c r="F84" s="5" t="s">
        <v>13</v>
      </c>
      <c r="G84" s="25">
        <v>257</v>
      </c>
      <c r="H84" s="3">
        <f t="shared" si="11"/>
        <v>0</v>
      </c>
      <c r="I84" s="3">
        <f t="shared" si="12"/>
        <v>0</v>
      </c>
      <c r="J84" s="3">
        <f t="shared" si="13"/>
        <v>1</v>
      </c>
      <c r="K84" s="35">
        <f t="shared" si="14"/>
        <v>0</v>
      </c>
      <c r="L84" s="3">
        <v>81</v>
      </c>
      <c r="M84" s="35">
        <f t="shared" si="15"/>
        <v>226.74970872635248</v>
      </c>
      <c r="N84" s="35">
        <f t="shared" si="16"/>
        <v>1.1334082916514543</v>
      </c>
      <c r="O84" s="48">
        <f t="shared" si="17"/>
        <v>236.25064807006157</v>
      </c>
    </row>
    <row r="85" spans="2:15" x14ac:dyDescent="0.3">
      <c r="B85" s="9">
        <v>42420</v>
      </c>
      <c r="C85" s="3" t="s">
        <v>8</v>
      </c>
      <c r="D85" s="3" t="s">
        <v>14</v>
      </c>
      <c r="E85" s="3" t="s">
        <v>12</v>
      </c>
      <c r="F85" s="5" t="s">
        <v>13</v>
      </c>
      <c r="G85" s="25">
        <v>211</v>
      </c>
      <c r="H85" s="3">
        <f t="shared" si="11"/>
        <v>0</v>
      </c>
      <c r="I85" s="3">
        <f t="shared" si="12"/>
        <v>0</v>
      </c>
      <c r="J85" s="3">
        <f t="shared" si="13"/>
        <v>0</v>
      </c>
      <c r="K85" s="35">
        <f t="shared" si="14"/>
        <v>0</v>
      </c>
      <c r="L85" s="3">
        <v>82</v>
      </c>
      <c r="M85" s="35">
        <f t="shared" si="15"/>
        <v>195.9273614373501</v>
      </c>
      <c r="N85" s="35">
        <f t="shared" si="16"/>
        <v>1.0769297276912981</v>
      </c>
      <c r="O85" s="48">
        <f t="shared" si="17"/>
        <v>197.78485310736951</v>
      </c>
    </row>
    <row r="86" spans="2:15" x14ac:dyDescent="0.3">
      <c r="B86" s="9">
        <v>42421</v>
      </c>
      <c r="C86" s="3" t="s">
        <v>9</v>
      </c>
      <c r="D86" s="3" t="s">
        <v>14</v>
      </c>
      <c r="E86" s="3" t="s">
        <v>15</v>
      </c>
      <c r="F86" s="5" t="s">
        <v>13</v>
      </c>
      <c r="G86" s="25">
        <v>172</v>
      </c>
      <c r="H86" s="3">
        <f t="shared" si="11"/>
        <v>0</v>
      </c>
      <c r="I86" s="3">
        <f t="shared" si="12"/>
        <v>0</v>
      </c>
      <c r="J86" s="3">
        <f t="shared" si="13"/>
        <v>0</v>
      </c>
      <c r="K86" s="35">
        <f t="shared" si="14"/>
        <v>0</v>
      </c>
      <c r="L86" s="3">
        <v>83</v>
      </c>
      <c r="M86" s="35">
        <f t="shared" si="15"/>
        <v>196.78240353982406</v>
      </c>
      <c r="N86" s="35">
        <f t="shared" si="16"/>
        <v>0.87406189225243047</v>
      </c>
      <c r="O86" s="48">
        <f t="shared" si="17"/>
        <v>164.89617527242828</v>
      </c>
    </row>
    <row r="87" spans="2:15" x14ac:dyDescent="0.3">
      <c r="B87" s="9">
        <v>42422</v>
      </c>
      <c r="C87" s="3" t="s">
        <v>10</v>
      </c>
      <c r="D87" s="3" t="s">
        <v>14</v>
      </c>
      <c r="E87" s="3" t="s">
        <v>12</v>
      </c>
      <c r="F87" s="5" t="s">
        <v>13</v>
      </c>
      <c r="G87" s="25">
        <v>223</v>
      </c>
      <c r="H87" s="3">
        <f t="shared" si="11"/>
        <v>0</v>
      </c>
      <c r="I87" s="3">
        <f t="shared" si="12"/>
        <v>0</v>
      </c>
      <c r="J87" s="3">
        <f t="shared" si="13"/>
        <v>0</v>
      </c>
      <c r="K87" s="35">
        <f t="shared" si="14"/>
        <v>0</v>
      </c>
      <c r="L87" s="3">
        <v>84</v>
      </c>
      <c r="M87" s="35">
        <f t="shared" si="15"/>
        <v>197.63744564229799</v>
      </c>
      <c r="N87" s="35">
        <f t="shared" si="16"/>
        <v>1.1283286893092388</v>
      </c>
      <c r="O87" s="48">
        <f t="shared" si="17"/>
        <v>216.67432743691549</v>
      </c>
    </row>
    <row r="88" spans="2:15" x14ac:dyDescent="0.3">
      <c r="B88" s="9">
        <v>42423</v>
      </c>
      <c r="C88" s="3" t="s">
        <v>4</v>
      </c>
      <c r="D88" s="3" t="s">
        <v>11</v>
      </c>
      <c r="E88" s="3" t="s">
        <v>15</v>
      </c>
      <c r="F88" s="5" t="s">
        <v>13</v>
      </c>
      <c r="G88" s="25">
        <v>248</v>
      </c>
      <c r="H88" s="3">
        <f t="shared" si="11"/>
        <v>0</v>
      </c>
      <c r="I88" s="3">
        <f t="shared" si="12"/>
        <v>0</v>
      </c>
      <c r="J88" s="3">
        <f t="shared" si="13"/>
        <v>1</v>
      </c>
      <c r="K88" s="35">
        <f t="shared" si="14"/>
        <v>0</v>
      </c>
      <c r="L88" s="3">
        <v>85</v>
      </c>
      <c r="M88" s="35">
        <f t="shared" si="15"/>
        <v>230.1698771362482</v>
      </c>
      <c r="N88" s="35">
        <f t="shared" si="16"/>
        <v>1.077465057919796</v>
      </c>
      <c r="O88" s="48">
        <f t="shared" si="17"/>
        <v>241.46181576074653</v>
      </c>
    </row>
    <row r="89" spans="2:15" x14ac:dyDescent="0.3">
      <c r="B89" s="9">
        <v>42424</v>
      </c>
      <c r="C89" s="3" t="s">
        <v>5</v>
      </c>
      <c r="D89" s="3" t="s">
        <v>11</v>
      </c>
      <c r="E89" s="3" t="s">
        <v>29</v>
      </c>
      <c r="F89" s="5" t="s">
        <v>13</v>
      </c>
      <c r="G89" s="25">
        <v>329</v>
      </c>
      <c r="H89" s="3">
        <f t="shared" si="11"/>
        <v>1</v>
      </c>
      <c r="I89" s="3">
        <f t="shared" si="12"/>
        <v>0</v>
      </c>
      <c r="J89" s="3">
        <f t="shared" si="13"/>
        <v>1</v>
      </c>
      <c r="K89" s="35">
        <f t="shared" si="14"/>
        <v>0</v>
      </c>
      <c r="L89" s="3">
        <v>86</v>
      </c>
      <c r="M89" s="35">
        <f t="shared" si="15"/>
        <v>299.72213467550466</v>
      </c>
      <c r="N89" s="35">
        <f t="shared" si="16"/>
        <v>1.0976833604771736</v>
      </c>
      <c r="O89" s="48">
        <f t="shared" si="17"/>
        <v>292.26349180729983</v>
      </c>
    </row>
    <row r="90" spans="2:15" x14ac:dyDescent="0.3">
      <c r="B90" s="9">
        <v>42425</v>
      </c>
      <c r="C90" s="3" t="s">
        <v>6</v>
      </c>
      <c r="D90" s="3" t="s">
        <v>14</v>
      </c>
      <c r="E90" s="3" t="s">
        <v>15</v>
      </c>
      <c r="F90" s="5" t="s">
        <v>13</v>
      </c>
      <c r="G90" s="25">
        <v>213</v>
      </c>
      <c r="H90" s="3">
        <f t="shared" si="11"/>
        <v>0</v>
      </c>
      <c r="I90" s="3">
        <f t="shared" si="12"/>
        <v>0</v>
      </c>
      <c r="J90" s="3">
        <f t="shared" si="13"/>
        <v>0</v>
      </c>
      <c r="K90" s="35">
        <f t="shared" si="14"/>
        <v>0</v>
      </c>
      <c r="L90" s="3">
        <v>87</v>
      </c>
      <c r="M90" s="35">
        <f t="shared" si="15"/>
        <v>200.20257194971978</v>
      </c>
      <c r="N90" s="35">
        <f t="shared" si="16"/>
        <v>1.0639223958296313</v>
      </c>
      <c r="O90" s="48">
        <f t="shared" si="17"/>
        <v>200.69449607664382</v>
      </c>
    </row>
    <row r="91" spans="2:15" x14ac:dyDescent="0.3">
      <c r="B91" s="9">
        <v>42426</v>
      </c>
      <c r="C91" s="3" t="s">
        <v>7</v>
      </c>
      <c r="D91" s="3" t="s">
        <v>11</v>
      </c>
      <c r="E91" s="3" t="s">
        <v>12</v>
      </c>
      <c r="F91" s="5" t="s">
        <v>13</v>
      </c>
      <c r="G91" s="25">
        <v>262</v>
      </c>
      <c r="H91" s="3">
        <f t="shared" si="11"/>
        <v>0</v>
      </c>
      <c r="I91" s="3">
        <f t="shared" si="12"/>
        <v>0</v>
      </c>
      <c r="J91" s="3">
        <f t="shared" si="13"/>
        <v>1</v>
      </c>
      <c r="K91" s="35">
        <f t="shared" si="14"/>
        <v>0</v>
      </c>
      <c r="L91" s="3">
        <v>88</v>
      </c>
      <c r="M91" s="35">
        <f t="shared" si="15"/>
        <v>232.73500344367</v>
      </c>
      <c r="N91" s="35">
        <f t="shared" si="16"/>
        <v>1.1257438551284065</v>
      </c>
      <c r="O91" s="48">
        <f t="shared" si="17"/>
        <v>242.4867299764029</v>
      </c>
    </row>
    <row r="92" spans="2:15" x14ac:dyDescent="0.3">
      <c r="B92" s="9">
        <v>42427</v>
      </c>
      <c r="C92" s="3" t="s">
        <v>8</v>
      </c>
      <c r="D92" s="3" t="s">
        <v>11</v>
      </c>
      <c r="E92" s="3" t="s">
        <v>15</v>
      </c>
      <c r="F92" s="5" t="s">
        <v>13</v>
      </c>
      <c r="G92" s="25">
        <v>238</v>
      </c>
      <c r="H92" s="3">
        <f t="shared" si="11"/>
        <v>0</v>
      </c>
      <c r="I92" s="3">
        <f t="shared" si="12"/>
        <v>0</v>
      </c>
      <c r="J92" s="3">
        <f t="shared" si="13"/>
        <v>1</v>
      </c>
      <c r="K92" s="35">
        <f t="shared" si="14"/>
        <v>0</v>
      </c>
      <c r="L92" s="3">
        <v>89</v>
      </c>
      <c r="M92" s="35">
        <f t="shared" si="15"/>
        <v>233.59004554614393</v>
      </c>
      <c r="N92" s="35">
        <f t="shared" si="16"/>
        <v>1.0188790341794978</v>
      </c>
      <c r="O92" s="48">
        <f t="shared" si="17"/>
        <v>235.80459873880844</v>
      </c>
    </row>
    <row r="93" spans="2:15" x14ac:dyDescent="0.3">
      <c r="B93" s="9">
        <v>42428</v>
      </c>
      <c r="C93" s="3" t="s">
        <v>9</v>
      </c>
      <c r="D93" s="3" t="s">
        <v>11</v>
      </c>
      <c r="E93" s="3" t="s">
        <v>15</v>
      </c>
      <c r="F93" s="5" t="s">
        <v>13</v>
      </c>
      <c r="G93" s="25">
        <v>193</v>
      </c>
      <c r="H93" s="3">
        <f t="shared" si="11"/>
        <v>0</v>
      </c>
      <c r="I93" s="3">
        <f t="shared" si="12"/>
        <v>0</v>
      </c>
      <c r="J93" s="3">
        <f t="shared" si="13"/>
        <v>1</v>
      </c>
      <c r="K93" s="35">
        <f t="shared" si="14"/>
        <v>0</v>
      </c>
      <c r="L93" s="3">
        <v>90</v>
      </c>
      <c r="M93" s="35">
        <f t="shared" si="15"/>
        <v>234.44508764861786</v>
      </c>
      <c r="N93" s="35">
        <f t="shared" si="16"/>
        <v>0.82322049028924416</v>
      </c>
      <c r="O93" s="48">
        <f t="shared" si="17"/>
        <v>196.45607315108651</v>
      </c>
    </row>
    <row r="94" spans="2:15" x14ac:dyDescent="0.3">
      <c r="B94" s="9">
        <v>42429</v>
      </c>
      <c r="C94" s="3" t="s">
        <v>10</v>
      </c>
      <c r="D94" s="3" t="s">
        <v>14</v>
      </c>
      <c r="E94" s="3" t="s">
        <v>15</v>
      </c>
      <c r="F94" s="5" t="s">
        <v>13</v>
      </c>
      <c r="G94" s="25">
        <v>223</v>
      </c>
      <c r="H94" s="3">
        <f t="shared" si="11"/>
        <v>0</v>
      </c>
      <c r="I94" s="3">
        <f t="shared" si="12"/>
        <v>0</v>
      </c>
      <c r="J94" s="3">
        <f t="shared" si="13"/>
        <v>0</v>
      </c>
      <c r="K94" s="35">
        <f t="shared" si="14"/>
        <v>0</v>
      </c>
      <c r="L94" s="3">
        <v>91</v>
      </c>
      <c r="M94" s="35">
        <f t="shared" si="15"/>
        <v>203.62274035961553</v>
      </c>
      <c r="N94" s="35">
        <f t="shared" si="16"/>
        <v>1.0951625521106461</v>
      </c>
      <c r="O94" s="48">
        <f t="shared" si="17"/>
        <v>223.23613915823108</v>
      </c>
    </row>
    <row r="95" spans="2:15" x14ac:dyDescent="0.3">
      <c r="B95" s="9">
        <v>42430</v>
      </c>
      <c r="C95" s="3" t="s">
        <v>4</v>
      </c>
      <c r="D95" s="3" t="s">
        <v>11</v>
      </c>
      <c r="E95" s="3" t="s">
        <v>12</v>
      </c>
      <c r="F95" s="5" t="s">
        <v>13</v>
      </c>
      <c r="G95" s="25">
        <v>144</v>
      </c>
      <c r="H95" s="3">
        <f t="shared" si="11"/>
        <v>0</v>
      </c>
      <c r="I95" s="3">
        <f t="shared" si="12"/>
        <v>0</v>
      </c>
      <c r="J95" s="3">
        <f t="shared" si="13"/>
        <v>1</v>
      </c>
      <c r="K95" s="35">
        <f t="shared" si="14"/>
        <v>0</v>
      </c>
      <c r="L95" s="3">
        <v>92</v>
      </c>
      <c r="M95" s="35">
        <f t="shared" si="15"/>
        <v>236.15517185356572</v>
      </c>
      <c r="N95" s="35">
        <f t="shared" si="16"/>
        <v>0.60976856390547751</v>
      </c>
      <c r="O95" s="48">
        <f t="shared" si="17"/>
        <v>247.74074395190684</v>
      </c>
    </row>
    <row r="96" spans="2:15" x14ac:dyDescent="0.3">
      <c r="B96" s="9">
        <v>42431</v>
      </c>
      <c r="C96" s="3" t="s">
        <v>5</v>
      </c>
      <c r="D96" s="3" t="s">
        <v>14</v>
      </c>
      <c r="E96" s="3" t="s">
        <v>15</v>
      </c>
      <c r="F96" s="5" t="s">
        <v>13</v>
      </c>
      <c r="G96" s="25">
        <v>164</v>
      </c>
      <c r="H96" s="3">
        <f t="shared" si="11"/>
        <v>0</v>
      </c>
      <c r="I96" s="3">
        <f t="shared" si="12"/>
        <v>0</v>
      </c>
      <c r="J96" s="3">
        <f t="shared" si="13"/>
        <v>0</v>
      </c>
      <c r="K96" s="35">
        <f t="shared" si="14"/>
        <v>0</v>
      </c>
      <c r="L96" s="3">
        <v>93</v>
      </c>
      <c r="M96" s="35">
        <f t="shared" si="15"/>
        <v>205.3328245645634</v>
      </c>
      <c r="N96" s="35">
        <f t="shared" si="16"/>
        <v>0.79870327770430594</v>
      </c>
      <c r="O96" s="48">
        <f t="shared" si="17"/>
        <v>200.22307780126573</v>
      </c>
    </row>
    <row r="97" spans="2:15" x14ac:dyDescent="0.3">
      <c r="B97" s="9">
        <v>42432</v>
      </c>
      <c r="C97" s="3" t="s">
        <v>6</v>
      </c>
      <c r="D97" s="3" t="s">
        <v>11</v>
      </c>
      <c r="E97" s="3" t="s">
        <v>15</v>
      </c>
      <c r="F97" s="5" t="s">
        <v>13</v>
      </c>
      <c r="G97" s="25">
        <v>177</v>
      </c>
      <c r="H97" s="3">
        <f t="shared" si="11"/>
        <v>0</v>
      </c>
      <c r="I97" s="3">
        <f t="shared" si="12"/>
        <v>0</v>
      </c>
      <c r="J97" s="3">
        <f t="shared" si="13"/>
        <v>1</v>
      </c>
      <c r="K97" s="35">
        <f t="shared" si="14"/>
        <v>0</v>
      </c>
      <c r="L97" s="3">
        <v>94</v>
      </c>
      <c r="M97" s="35">
        <f t="shared" si="15"/>
        <v>237.86525605851358</v>
      </c>
      <c r="N97" s="35">
        <f t="shared" si="16"/>
        <v>0.74411876258405285</v>
      </c>
      <c r="O97" s="48">
        <f t="shared" si="17"/>
        <v>238.44972236817483</v>
      </c>
    </row>
    <row r="98" spans="2:15" x14ac:dyDescent="0.3">
      <c r="B98" s="9">
        <v>42433</v>
      </c>
      <c r="C98" s="3" t="s">
        <v>7</v>
      </c>
      <c r="D98" s="3" t="s">
        <v>11</v>
      </c>
      <c r="E98" s="3" t="s">
        <v>16</v>
      </c>
      <c r="F98" s="5" t="s">
        <v>13</v>
      </c>
      <c r="G98" s="25">
        <v>103</v>
      </c>
      <c r="H98" s="3">
        <f t="shared" si="11"/>
        <v>0</v>
      </c>
      <c r="I98" s="3">
        <f t="shared" si="12"/>
        <v>1</v>
      </c>
      <c r="J98" s="3">
        <f t="shared" si="13"/>
        <v>1</v>
      </c>
      <c r="K98" s="35">
        <f t="shared" si="14"/>
        <v>0</v>
      </c>
      <c r="L98" s="3">
        <v>95</v>
      </c>
      <c r="M98" s="35">
        <f t="shared" si="15"/>
        <v>286.09966215965517</v>
      </c>
      <c r="N98" s="35">
        <f t="shared" si="16"/>
        <v>0.36001440624743497</v>
      </c>
      <c r="O98" s="48">
        <f t="shared" si="17"/>
        <v>298.08739767518324</v>
      </c>
    </row>
    <row r="99" spans="2:15" x14ac:dyDescent="0.3">
      <c r="B99" s="9">
        <v>42434</v>
      </c>
      <c r="C99" s="3" t="s">
        <v>8</v>
      </c>
      <c r="D99" s="3" t="s">
        <v>11</v>
      </c>
      <c r="E99" s="3" t="s">
        <v>12</v>
      </c>
      <c r="F99" s="5" t="s">
        <v>13</v>
      </c>
      <c r="G99" s="25">
        <v>219</v>
      </c>
      <c r="H99" s="3">
        <f t="shared" si="11"/>
        <v>0</v>
      </c>
      <c r="I99" s="3">
        <f t="shared" si="12"/>
        <v>0</v>
      </c>
      <c r="J99" s="3">
        <f t="shared" si="13"/>
        <v>1</v>
      </c>
      <c r="K99" s="35">
        <f t="shared" si="14"/>
        <v>0</v>
      </c>
      <c r="L99" s="3">
        <v>96</v>
      </c>
      <c r="M99" s="35">
        <f t="shared" si="15"/>
        <v>239.57534026346147</v>
      </c>
      <c r="N99" s="35">
        <f t="shared" si="16"/>
        <v>0.91411745365430874</v>
      </c>
      <c r="O99" s="48">
        <f t="shared" si="17"/>
        <v>241.84663711356347</v>
      </c>
    </row>
    <row r="100" spans="2:15" x14ac:dyDescent="0.3">
      <c r="B100" s="9">
        <v>42435</v>
      </c>
      <c r="C100" s="3" t="s">
        <v>9</v>
      </c>
      <c r="D100" s="3" t="s">
        <v>11</v>
      </c>
      <c r="E100" s="3" t="s">
        <v>12</v>
      </c>
      <c r="F100" s="5" t="s">
        <v>13</v>
      </c>
      <c r="G100" s="25">
        <v>151</v>
      </c>
      <c r="H100" s="3">
        <f t="shared" ref="H100:H138" si="18">IF(E100=$H$3,1,0)</f>
        <v>0</v>
      </c>
      <c r="I100" s="3">
        <f t="shared" ref="I100:I138" si="19">IF(E100=$I$3,1,0)</f>
        <v>0</v>
      </c>
      <c r="J100" s="3">
        <f t="shared" ref="J100:J138" si="20">IF(D100=J$3,1,0)</f>
        <v>1</v>
      </c>
      <c r="K100" s="35">
        <f t="shared" ref="K100:K138" si="21">IF(F100="Yes",1,0)</f>
        <v>0</v>
      </c>
      <c r="L100" s="3">
        <v>97</v>
      </c>
      <c r="M100" s="35">
        <f t="shared" si="15"/>
        <v>240.4303823659354</v>
      </c>
      <c r="N100" s="35">
        <f t="shared" si="16"/>
        <v>0.6280404269797224</v>
      </c>
      <c r="O100" s="48">
        <f t="shared" si="17"/>
        <v>201.47152264763764</v>
      </c>
    </row>
    <row r="101" spans="2:15" x14ac:dyDescent="0.3">
      <c r="B101" s="9">
        <v>42436</v>
      </c>
      <c r="C101" s="3" t="s">
        <v>10</v>
      </c>
      <c r="D101" s="3" t="s">
        <v>14</v>
      </c>
      <c r="E101" s="3" t="s">
        <v>15</v>
      </c>
      <c r="F101" s="5" t="s">
        <v>13</v>
      </c>
      <c r="G101" s="25">
        <v>245</v>
      </c>
      <c r="H101" s="3">
        <f t="shared" si="18"/>
        <v>0</v>
      </c>
      <c r="I101" s="3">
        <f t="shared" si="19"/>
        <v>0</v>
      </c>
      <c r="J101" s="3">
        <f t="shared" si="20"/>
        <v>0</v>
      </c>
      <c r="K101" s="35">
        <f t="shared" si="21"/>
        <v>0</v>
      </c>
      <c r="L101" s="3">
        <v>98</v>
      </c>
      <c r="M101" s="35">
        <f t="shared" si="15"/>
        <v>209.60803507693305</v>
      </c>
      <c r="N101" s="35">
        <f t="shared" si="16"/>
        <v>1.1688483216307854</v>
      </c>
      <c r="O101" s="48">
        <f t="shared" si="17"/>
        <v>229.79795087954662</v>
      </c>
    </row>
    <row r="102" spans="2:15" x14ac:dyDescent="0.3">
      <c r="B102" s="9">
        <v>42437</v>
      </c>
      <c r="C102" s="3" t="s">
        <v>4</v>
      </c>
      <c r="D102" s="3" t="s">
        <v>26</v>
      </c>
      <c r="E102" s="3" t="s">
        <v>15</v>
      </c>
      <c r="F102" s="5" t="s">
        <v>13</v>
      </c>
      <c r="G102" s="25">
        <v>170</v>
      </c>
      <c r="H102" s="3">
        <f t="shared" si="18"/>
        <v>0</v>
      </c>
      <c r="I102" s="3">
        <f t="shared" si="19"/>
        <v>0</v>
      </c>
      <c r="J102" s="3">
        <f t="shared" si="20"/>
        <v>0</v>
      </c>
      <c r="K102" s="35">
        <f t="shared" si="21"/>
        <v>0</v>
      </c>
      <c r="L102" s="3">
        <v>99</v>
      </c>
      <c r="M102" s="35">
        <f t="shared" si="15"/>
        <v>210.46307717940698</v>
      </c>
      <c r="N102" s="35">
        <f t="shared" si="16"/>
        <v>0.8077426324765048</v>
      </c>
      <c r="O102" s="48">
        <f t="shared" si="17"/>
        <v>220.78821694053281</v>
      </c>
    </row>
    <row r="103" spans="2:15" x14ac:dyDescent="0.3">
      <c r="B103" s="9">
        <v>42438</v>
      </c>
      <c r="C103" s="3" t="s">
        <v>5</v>
      </c>
      <c r="D103" s="3" t="s">
        <v>26</v>
      </c>
      <c r="E103" s="3" t="s">
        <v>12</v>
      </c>
      <c r="F103" s="5" t="s">
        <v>13</v>
      </c>
      <c r="G103" s="25">
        <v>163</v>
      </c>
      <c r="H103" s="3">
        <f t="shared" si="18"/>
        <v>0</v>
      </c>
      <c r="I103" s="3">
        <f t="shared" si="19"/>
        <v>0</v>
      </c>
      <c r="J103" s="3">
        <f t="shared" si="20"/>
        <v>0</v>
      </c>
      <c r="K103" s="35">
        <f t="shared" si="21"/>
        <v>0</v>
      </c>
      <c r="L103" s="3">
        <v>100</v>
      </c>
      <c r="M103" s="35">
        <f t="shared" si="15"/>
        <v>211.31811928188091</v>
      </c>
      <c r="N103" s="35">
        <f t="shared" si="16"/>
        <v>0.77134890540347589</v>
      </c>
      <c r="O103" s="48">
        <f t="shared" si="17"/>
        <v>206.05942731036311</v>
      </c>
    </row>
    <row r="104" spans="2:15" x14ac:dyDescent="0.3">
      <c r="B104" s="9">
        <v>42439</v>
      </c>
      <c r="C104" s="3" t="s">
        <v>6</v>
      </c>
      <c r="D104" s="3" t="s">
        <v>31</v>
      </c>
      <c r="E104" s="3" t="s">
        <v>15</v>
      </c>
      <c r="F104" s="5" t="s">
        <v>13</v>
      </c>
      <c r="G104" s="25">
        <v>206</v>
      </c>
      <c r="H104" s="3">
        <f t="shared" si="18"/>
        <v>0</v>
      </c>
      <c r="I104" s="3">
        <f t="shared" si="19"/>
        <v>0</v>
      </c>
      <c r="J104" s="3">
        <f t="shared" si="20"/>
        <v>0</v>
      </c>
      <c r="K104" s="35">
        <f t="shared" si="21"/>
        <v>0</v>
      </c>
      <c r="L104" s="3">
        <v>101</v>
      </c>
      <c r="M104" s="35">
        <f t="shared" si="15"/>
        <v>212.17316138435484</v>
      </c>
      <c r="N104" s="35">
        <f t="shared" si="16"/>
        <v>0.97090507892667877</v>
      </c>
      <c r="O104" s="48">
        <f t="shared" si="17"/>
        <v>212.69449882849577</v>
      </c>
    </row>
    <row r="105" spans="2:15" x14ac:dyDescent="0.3">
      <c r="B105" s="9">
        <v>42440</v>
      </c>
      <c r="C105" s="3" t="s">
        <v>7</v>
      </c>
      <c r="D105" s="3" t="s">
        <v>14</v>
      </c>
      <c r="E105" s="3" t="s">
        <v>15</v>
      </c>
      <c r="F105" s="5" t="s">
        <v>13</v>
      </c>
      <c r="G105" s="25">
        <v>237</v>
      </c>
      <c r="H105" s="3">
        <f t="shared" si="18"/>
        <v>0</v>
      </c>
      <c r="I105" s="3">
        <f t="shared" si="19"/>
        <v>0</v>
      </c>
      <c r="J105" s="3">
        <f t="shared" si="20"/>
        <v>0</v>
      </c>
      <c r="K105" s="35">
        <f t="shared" si="21"/>
        <v>0</v>
      </c>
      <c r="L105" s="3">
        <v>102</v>
      </c>
      <c r="M105" s="35">
        <f t="shared" si="15"/>
        <v>213.02820348682877</v>
      </c>
      <c r="N105" s="35">
        <f t="shared" si="16"/>
        <v>1.1125287455876862</v>
      </c>
      <c r="O105" s="48">
        <f t="shared" si="17"/>
        <v>221.95420410308645</v>
      </c>
    </row>
    <row r="106" spans="2:15" x14ac:dyDescent="0.3">
      <c r="B106" s="9">
        <v>42441</v>
      </c>
      <c r="C106" s="3" t="s">
        <v>8</v>
      </c>
      <c r="D106" s="3" t="s">
        <v>26</v>
      </c>
      <c r="E106" s="3" t="s">
        <v>15</v>
      </c>
      <c r="F106" s="5" t="s">
        <v>13</v>
      </c>
      <c r="G106" s="25">
        <v>204</v>
      </c>
      <c r="H106" s="3">
        <f t="shared" si="18"/>
        <v>0</v>
      </c>
      <c r="I106" s="3">
        <f t="shared" si="19"/>
        <v>0</v>
      </c>
      <c r="J106" s="3">
        <f t="shared" si="20"/>
        <v>0</v>
      </c>
      <c r="K106" s="35">
        <f t="shared" si="21"/>
        <v>0</v>
      </c>
      <c r="L106" s="3">
        <v>103</v>
      </c>
      <c r="M106" s="35">
        <f t="shared" si="15"/>
        <v>213.8832455893027</v>
      </c>
      <c r="N106" s="35">
        <f t="shared" si="16"/>
        <v>0.95379139884439357</v>
      </c>
      <c r="O106" s="48">
        <f t="shared" si="17"/>
        <v>215.91096823163454</v>
      </c>
    </row>
    <row r="107" spans="2:15" x14ac:dyDescent="0.3">
      <c r="B107" s="9">
        <v>42442</v>
      </c>
      <c r="C107" s="3" t="s">
        <v>9</v>
      </c>
      <c r="D107" s="3" t="s">
        <v>26</v>
      </c>
      <c r="E107" s="3" t="s">
        <v>12</v>
      </c>
      <c r="F107" s="5" t="s">
        <v>13</v>
      </c>
      <c r="G107" s="25">
        <v>176</v>
      </c>
      <c r="H107" s="3">
        <f t="shared" si="18"/>
        <v>0</v>
      </c>
      <c r="I107" s="3">
        <f t="shared" si="19"/>
        <v>0</v>
      </c>
      <c r="J107" s="3">
        <f t="shared" si="20"/>
        <v>0</v>
      </c>
      <c r="K107" s="35">
        <f t="shared" si="21"/>
        <v>0</v>
      </c>
      <c r="L107" s="3">
        <v>104</v>
      </c>
      <c r="M107" s="35">
        <f t="shared" si="15"/>
        <v>214.73828769177663</v>
      </c>
      <c r="N107" s="35">
        <f t="shared" si="16"/>
        <v>0.81960232565801483</v>
      </c>
      <c r="O107" s="48">
        <f t="shared" si="17"/>
        <v>179.94252376208163</v>
      </c>
    </row>
    <row r="108" spans="2:15" x14ac:dyDescent="0.3">
      <c r="B108" s="9">
        <v>42443</v>
      </c>
      <c r="C108" s="3" t="s">
        <v>10</v>
      </c>
      <c r="D108" s="3" t="s">
        <v>11</v>
      </c>
      <c r="E108" s="3" t="s">
        <v>16</v>
      </c>
      <c r="F108" s="5" t="s">
        <v>13</v>
      </c>
      <c r="G108" s="25">
        <v>347</v>
      </c>
      <c r="H108" s="3">
        <f t="shared" si="18"/>
        <v>0</v>
      </c>
      <c r="I108" s="3">
        <f t="shared" si="19"/>
        <v>1</v>
      </c>
      <c r="J108" s="3">
        <f t="shared" si="20"/>
        <v>1</v>
      </c>
      <c r="K108" s="35">
        <f t="shared" si="21"/>
        <v>0</v>
      </c>
      <c r="L108" s="3">
        <v>105</v>
      </c>
      <c r="M108" s="35">
        <f t="shared" si="15"/>
        <v>294.65008318439453</v>
      </c>
      <c r="N108" s="35">
        <f t="shared" si="16"/>
        <v>1.177668087685027</v>
      </c>
      <c r="O108" s="48">
        <f t="shared" si="17"/>
        <v>323.03143969366454</v>
      </c>
    </row>
    <row r="109" spans="2:15" x14ac:dyDescent="0.3">
      <c r="B109" s="9">
        <v>42444</v>
      </c>
      <c r="C109" s="3" t="s">
        <v>4</v>
      </c>
      <c r="D109" s="3" t="s">
        <v>14</v>
      </c>
      <c r="E109" s="3" t="s">
        <v>16</v>
      </c>
      <c r="F109" s="5" t="s">
        <v>13</v>
      </c>
      <c r="G109" s="25">
        <v>296</v>
      </c>
      <c r="H109" s="3">
        <f t="shared" si="18"/>
        <v>0</v>
      </c>
      <c r="I109" s="3">
        <f t="shared" si="19"/>
        <v>1</v>
      </c>
      <c r="J109" s="3">
        <f t="shared" si="20"/>
        <v>0</v>
      </c>
      <c r="K109" s="35">
        <f t="shared" si="21"/>
        <v>0</v>
      </c>
      <c r="L109" s="3">
        <v>106</v>
      </c>
      <c r="M109" s="35">
        <f t="shared" si="15"/>
        <v>263.82773589539215</v>
      </c>
      <c r="N109" s="35">
        <f t="shared" si="16"/>
        <v>1.1219442072510684</v>
      </c>
      <c r="O109" s="48">
        <f t="shared" si="17"/>
        <v>276.77090047555851</v>
      </c>
    </row>
    <row r="110" spans="2:15" x14ac:dyDescent="0.3">
      <c r="B110" s="9">
        <v>42445</v>
      </c>
      <c r="C110" s="3" t="s">
        <v>5</v>
      </c>
      <c r="D110" s="3" t="s">
        <v>14</v>
      </c>
      <c r="E110" s="3" t="s">
        <v>15</v>
      </c>
      <c r="F110" s="5" t="s">
        <v>13</v>
      </c>
      <c r="G110" s="25">
        <v>221</v>
      </c>
      <c r="H110" s="3">
        <f t="shared" si="18"/>
        <v>0</v>
      </c>
      <c r="I110" s="3">
        <f t="shared" si="19"/>
        <v>0</v>
      </c>
      <c r="J110" s="3">
        <f t="shared" si="20"/>
        <v>0</v>
      </c>
      <c r="K110" s="35">
        <f t="shared" si="21"/>
        <v>0</v>
      </c>
      <c r="L110" s="3">
        <v>107</v>
      </c>
      <c r="M110" s="35">
        <f t="shared" si="15"/>
        <v>217.30341399919845</v>
      </c>
      <c r="N110" s="35">
        <f t="shared" si="16"/>
        <v>1.0170111731462037</v>
      </c>
      <c r="O110" s="48">
        <f t="shared" si="17"/>
        <v>211.89577681946054</v>
      </c>
    </row>
    <row r="111" spans="2:15" x14ac:dyDescent="0.3">
      <c r="B111" s="9">
        <v>42446</v>
      </c>
      <c r="C111" s="3" t="s">
        <v>6</v>
      </c>
      <c r="D111" s="3" t="s">
        <v>14</v>
      </c>
      <c r="E111" s="3" t="s">
        <v>29</v>
      </c>
      <c r="F111" s="5" t="s">
        <v>30</v>
      </c>
      <c r="G111" s="25">
        <v>243</v>
      </c>
      <c r="H111" s="3">
        <f t="shared" si="18"/>
        <v>1</v>
      </c>
      <c r="I111" s="3">
        <f t="shared" si="19"/>
        <v>0</v>
      </c>
      <c r="J111" s="3">
        <f t="shared" si="20"/>
        <v>0</v>
      </c>
      <c r="K111" s="35">
        <f t="shared" si="21"/>
        <v>1</v>
      </c>
      <c r="L111" s="3">
        <v>108</v>
      </c>
      <c r="M111" s="35">
        <f t="shared" si="15"/>
        <v>240.5479793487238</v>
      </c>
      <c r="N111" s="35">
        <f t="shared" si="16"/>
        <v>1.0101934784815694</v>
      </c>
      <c r="O111" s="48">
        <f t="shared" si="17"/>
        <v>241.13903746337269</v>
      </c>
    </row>
    <row r="112" spans="2:15" x14ac:dyDescent="0.3">
      <c r="B112" s="9">
        <v>42447</v>
      </c>
      <c r="C112" s="3" t="s">
        <v>7</v>
      </c>
      <c r="D112" s="3" t="s">
        <v>14</v>
      </c>
      <c r="E112" s="3" t="s">
        <v>15</v>
      </c>
      <c r="F112" s="5" t="s">
        <v>13</v>
      </c>
      <c r="G112" s="25">
        <v>242</v>
      </c>
      <c r="H112" s="3">
        <f t="shared" si="18"/>
        <v>0</v>
      </c>
      <c r="I112" s="3">
        <f t="shared" si="19"/>
        <v>0</v>
      </c>
      <c r="J112" s="3">
        <f t="shared" si="20"/>
        <v>0</v>
      </c>
      <c r="K112" s="35">
        <f t="shared" si="21"/>
        <v>0</v>
      </c>
      <c r="L112" s="3">
        <v>109</v>
      </c>
      <c r="M112" s="35">
        <f t="shared" si="15"/>
        <v>219.01349820414632</v>
      </c>
      <c r="N112" s="35">
        <f t="shared" si="16"/>
        <v>1.1049547264636062</v>
      </c>
      <c r="O112" s="48">
        <f t="shared" si="17"/>
        <v>228.19028600942784</v>
      </c>
    </row>
    <row r="113" spans="2:15" x14ac:dyDescent="0.3">
      <c r="B113" s="9">
        <v>42448</v>
      </c>
      <c r="C113" s="3" t="s">
        <v>8</v>
      </c>
      <c r="D113" s="3" t="s">
        <v>11</v>
      </c>
      <c r="E113" s="3" t="s">
        <v>12</v>
      </c>
      <c r="F113" s="5" t="s">
        <v>13</v>
      </c>
      <c r="G113" s="25">
        <v>264</v>
      </c>
      <c r="H113" s="3">
        <f t="shared" si="18"/>
        <v>0</v>
      </c>
      <c r="I113" s="3">
        <f t="shared" si="19"/>
        <v>0</v>
      </c>
      <c r="J113" s="3">
        <f t="shared" si="20"/>
        <v>1</v>
      </c>
      <c r="K113" s="35">
        <f t="shared" si="21"/>
        <v>0</v>
      </c>
      <c r="L113" s="3">
        <v>110</v>
      </c>
      <c r="M113" s="35">
        <f t="shared" si="15"/>
        <v>251.54592969809653</v>
      </c>
      <c r="N113" s="35">
        <f t="shared" si="16"/>
        <v>1.049510124520205</v>
      </c>
      <c r="O113" s="48">
        <f t="shared" si="17"/>
        <v>253.93071386307346</v>
      </c>
    </row>
    <row r="114" spans="2:15" x14ac:dyDescent="0.3">
      <c r="B114" s="9">
        <v>42449</v>
      </c>
      <c r="C114" s="3" t="s">
        <v>9</v>
      </c>
      <c r="D114" s="3" t="s">
        <v>11</v>
      </c>
      <c r="E114" s="3" t="s">
        <v>12</v>
      </c>
      <c r="F114" s="5" t="s">
        <v>13</v>
      </c>
      <c r="G114" s="25">
        <v>222</v>
      </c>
      <c r="H114" s="3">
        <f t="shared" si="18"/>
        <v>0</v>
      </c>
      <c r="I114" s="3">
        <f t="shared" si="19"/>
        <v>0</v>
      </c>
      <c r="J114" s="3">
        <f t="shared" si="20"/>
        <v>1</v>
      </c>
      <c r="K114" s="35">
        <f t="shared" si="21"/>
        <v>0</v>
      </c>
      <c r="L114" s="3">
        <v>111</v>
      </c>
      <c r="M114" s="35">
        <f t="shared" si="15"/>
        <v>252.40097180057046</v>
      </c>
      <c r="N114" s="35">
        <f t="shared" si="16"/>
        <v>0.87955287341527677</v>
      </c>
      <c r="O114" s="48">
        <f t="shared" si="17"/>
        <v>211.5024216407399</v>
      </c>
    </row>
    <row r="115" spans="2:15" x14ac:dyDescent="0.3">
      <c r="B115" s="9">
        <v>42450</v>
      </c>
      <c r="C115" s="3" t="s">
        <v>10</v>
      </c>
      <c r="D115" s="3" t="s">
        <v>11</v>
      </c>
      <c r="E115" s="3" t="s">
        <v>16</v>
      </c>
      <c r="F115" s="5" t="s">
        <v>13</v>
      </c>
      <c r="G115" s="25">
        <v>355</v>
      </c>
      <c r="H115" s="3">
        <f t="shared" si="18"/>
        <v>0</v>
      </c>
      <c r="I115" s="3">
        <f t="shared" si="19"/>
        <v>1</v>
      </c>
      <c r="J115" s="3">
        <f t="shared" si="20"/>
        <v>1</v>
      </c>
      <c r="K115" s="35">
        <f t="shared" si="21"/>
        <v>0</v>
      </c>
      <c r="L115" s="3">
        <v>112</v>
      </c>
      <c r="M115" s="35">
        <f t="shared" si="15"/>
        <v>300.63537790171205</v>
      </c>
      <c r="N115" s="35">
        <f t="shared" si="16"/>
        <v>1.1808324172548368</v>
      </c>
      <c r="O115" s="48">
        <f t="shared" si="17"/>
        <v>329.5932514149801</v>
      </c>
    </row>
    <row r="116" spans="2:15" x14ac:dyDescent="0.3">
      <c r="B116" s="9">
        <v>42451</v>
      </c>
      <c r="C116" s="3" t="s">
        <v>4</v>
      </c>
      <c r="D116" s="3" t="s">
        <v>11</v>
      </c>
      <c r="E116" s="3" t="s">
        <v>12</v>
      </c>
      <c r="F116" s="5" t="s">
        <v>13</v>
      </c>
      <c r="G116" s="25">
        <v>293</v>
      </c>
      <c r="H116" s="3">
        <f t="shared" si="18"/>
        <v>0</v>
      </c>
      <c r="I116" s="3">
        <f t="shared" si="19"/>
        <v>0</v>
      </c>
      <c r="J116" s="3">
        <f t="shared" si="20"/>
        <v>1</v>
      </c>
      <c r="K116" s="35">
        <f t="shared" si="21"/>
        <v>0</v>
      </c>
      <c r="L116" s="3">
        <v>113</v>
      </c>
      <c r="M116" s="35">
        <f t="shared" si="15"/>
        <v>254.11105600551832</v>
      </c>
      <c r="N116" s="35">
        <f t="shared" si="16"/>
        <v>1.1530391656537651</v>
      </c>
      <c r="O116" s="48">
        <f t="shared" si="17"/>
        <v>266.57752852538778</v>
      </c>
    </row>
    <row r="117" spans="2:15" x14ac:dyDescent="0.3">
      <c r="B117" s="9">
        <v>42452</v>
      </c>
      <c r="C117" s="3" t="s">
        <v>5</v>
      </c>
      <c r="D117" s="3" t="s">
        <v>14</v>
      </c>
      <c r="E117" s="3" t="s">
        <v>15</v>
      </c>
      <c r="F117" s="5" t="s">
        <v>13</v>
      </c>
      <c r="G117" s="25">
        <v>228</v>
      </c>
      <c r="H117" s="3">
        <f t="shared" si="18"/>
        <v>0</v>
      </c>
      <c r="I117" s="3">
        <f t="shared" si="19"/>
        <v>0</v>
      </c>
      <c r="J117" s="3">
        <f t="shared" si="20"/>
        <v>0</v>
      </c>
      <c r="K117" s="35">
        <f t="shared" si="21"/>
        <v>0</v>
      </c>
      <c r="L117" s="3">
        <v>114</v>
      </c>
      <c r="M117" s="35">
        <f t="shared" si="15"/>
        <v>223.288708716516</v>
      </c>
      <c r="N117" s="35">
        <f t="shared" si="16"/>
        <v>1.0210995500424762</v>
      </c>
      <c r="O117" s="48">
        <f t="shared" si="17"/>
        <v>217.73212632855794</v>
      </c>
    </row>
    <row r="118" spans="2:15" x14ac:dyDescent="0.3">
      <c r="B118" s="9">
        <v>42453</v>
      </c>
      <c r="C118" s="3" t="s">
        <v>6</v>
      </c>
      <c r="D118" s="3" t="s">
        <v>14</v>
      </c>
      <c r="E118" s="3" t="s">
        <v>15</v>
      </c>
      <c r="F118" s="5" t="s">
        <v>13</v>
      </c>
      <c r="G118" s="25">
        <v>234</v>
      </c>
      <c r="H118" s="3">
        <f t="shared" si="18"/>
        <v>0</v>
      </c>
      <c r="I118" s="3">
        <f t="shared" si="19"/>
        <v>0</v>
      </c>
      <c r="J118" s="3">
        <f t="shared" si="20"/>
        <v>0</v>
      </c>
      <c r="K118" s="35">
        <f t="shared" si="21"/>
        <v>0</v>
      </c>
      <c r="L118" s="3">
        <v>115</v>
      </c>
      <c r="M118" s="35">
        <f t="shared" si="15"/>
        <v>224.14375081898993</v>
      </c>
      <c r="N118" s="35">
        <f t="shared" si="16"/>
        <v>1.0439728930429544</v>
      </c>
      <c r="O118" s="48">
        <f t="shared" si="17"/>
        <v>224.69450158034778</v>
      </c>
    </row>
    <row r="119" spans="2:15" x14ac:dyDescent="0.3">
      <c r="B119" s="9">
        <v>42454</v>
      </c>
      <c r="C119" s="3" t="s">
        <v>7</v>
      </c>
      <c r="D119" s="3" t="s">
        <v>11</v>
      </c>
      <c r="E119" s="3" t="s">
        <v>16</v>
      </c>
      <c r="F119" s="5" t="s">
        <v>30</v>
      </c>
      <c r="G119" s="25">
        <v>271</v>
      </c>
      <c r="H119" s="3">
        <f t="shared" si="18"/>
        <v>0</v>
      </c>
      <c r="I119" s="3">
        <f t="shared" si="19"/>
        <v>1</v>
      </c>
      <c r="J119" s="3">
        <f t="shared" si="20"/>
        <v>1</v>
      </c>
      <c r="K119" s="35">
        <f t="shared" si="21"/>
        <v>1</v>
      </c>
      <c r="L119" s="3">
        <v>116</v>
      </c>
      <c r="M119" s="35">
        <f t="shared" si="15"/>
        <v>257.74785412187668</v>
      </c>
      <c r="N119" s="35">
        <f t="shared" si="16"/>
        <v>1.0514151550292132</v>
      </c>
      <c r="O119" s="48">
        <f t="shared" si="17"/>
        <v>268.54763305759502</v>
      </c>
    </row>
    <row r="120" spans="2:15" x14ac:dyDescent="0.3">
      <c r="B120" s="9">
        <v>42455</v>
      </c>
      <c r="C120" s="3" t="s">
        <v>8</v>
      </c>
      <c r="D120" s="3" t="s">
        <v>11</v>
      </c>
      <c r="E120" s="3" t="s">
        <v>15</v>
      </c>
      <c r="F120" s="5" t="s">
        <v>13</v>
      </c>
      <c r="G120" s="25">
        <v>257</v>
      </c>
      <c r="H120" s="3">
        <f t="shared" si="18"/>
        <v>0</v>
      </c>
      <c r="I120" s="3">
        <f t="shared" si="19"/>
        <v>0</v>
      </c>
      <c r="J120" s="3">
        <f t="shared" si="20"/>
        <v>1</v>
      </c>
      <c r="K120" s="35">
        <f t="shared" si="21"/>
        <v>0</v>
      </c>
      <c r="L120" s="3">
        <v>117</v>
      </c>
      <c r="M120" s="35">
        <f t="shared" si="15"/>
        <v>257.53122441541404</v>
      </c>
      <c r="N120" s="35">
        <f t="shared" si="16"/>
        <v>0.99793724269117312</v>
      </c>
      <c r="O120" s="48">
        <f t="shared" si="17"/>
        <v>259.97275223782844</v>
      </c>
    </row>
    <row r="121" spans="2:15" x14ac:dyDescent="0.3">
      <c r="B121" s="9">
        <v>42456</v>
      </c>
      <c r="C121" s="3" t="s">
        <v>9</v>
      </c>
      <c r="D121" s="3" t="s">
        <v>11</v>
      </c>
      <c r="E121" s="3" t="s">
        <v>15</v>
      </c>
      <c r="F121" s="5" t="s">
        <v>30</v>
      </c>
      <c r="G121" s="25">
        <v>165</v>
      </c>
      <c r="H121" s="3">
        <f t="shared" si="18"/>
        <v>0</v>
      </c>
      <c r="I121" s="3">
        <f t="shared" si="19"/>
        <v>0</v>
      </c>
      <c r="J121" s="3">
        <f t="shared" si="20"/>
        <v>1</v>
      </c>
      <c r="K121" s="35">
        <f t="shared" si="21"/>
        <v>1</v>
      </c>
      <c r="L121" s="3">
        <v>118</v>
      </c>
      <c r="M121" s="35">
        <f t="shared" si="15"/>
        <v>212.07857432815689</v>
      </c>
      <c r="N121" s="35">
        <f t="shared" si="16"/>
        <v>0.7780135288192267</v>
      </c>
      <c r="O121" s="48">
        <f t="shared" si="17"/>
        <v>177.71378504818995</v>
      </c>
    </row>
    <row r="122" spans="2:15" x14ac:dyDescent="0.3">
      <c r="B122" s="9">
        <v>42457</v>
      </c>
      <c r="C122" s="3" t="s">
        <v>10</v>
      </c>
      <c r="D122" s="3" t="s">
        <v>11</v>
      </c>
      <c r="E122" s="3" t="s">
        <v>16</v>
      </c>
      <c r="F122" s="5" t="s">
        <v>13</v>
      </c>
      <c r="G122" s="25">
        <v>366</v>
      </c>
      <c r="H122" s="3">
        <f t="shared" si="18"/>
        <v>0</v>
      </c>
      <c r="I122" s="3">
        <f t="shared" si="19"/>
        <v>1</v>
      </c>
      <c r="J122" s="3">
        <f t="shared" si="20"/>
        <v>1</v>
      </c>
      <c r="K122" s="35">
        <f t="shared" si="21"/>
        <v>0</v>
      </c>
      <c r="L122" s="3">
        <v>119</v>
      </c>
      <c r="M122" s="35">
        <f t="shared" si="15"/>
        <v>306.62067261902962</v>
      </c>
      <c r="N122" s="35">
        <f t="shared" si="16"/>
        <v>1.1936572862937656</v>
      </c>
      <c r="O122" s="48">
        <f t="shared" si="17"/>
        <v>336.15506313629572</v>
      </c>
    </row>
    <row r="123" spans="2:15" x14ac:dyDescent="0.3">
      <c r="B123" s="9">
        <v>42458</v>
      </c>
      <c r="C123" s="3" t="s">
        <v>4</v>
      </c>
      <c r="D123" s="3" t="s">
        <v>14</v>
      </c>
      <c r="E123" s="3" t="s">
        <v>15</v>
      </c>
      <c r="F123" s="5" t="s">
        <v>13</v>
      </c>
      <c r="G123" s="25">
        <v>251</v>
      </c>
      <c r="H123" s="3">
        <f t="shared" si="18"/>
        <v>0</v>
      </c>
      <c r="I123" s="3">
        <f t="shared" si="19"/>
        <v>0</v>
      </c>
      <c r="J123" s="3">
        <f t="shared" si="20"/>
        <v>0</v>
      </c>
      <c r="K123" s="35">
        <f t="shared" si="21"/>
        <v>0</v>
      </c>
      <c r="L123" s="3">
        <v>120</v>
      </c>
      <c r="M123" s="35">
        <f t="shared" si="15"/>
        <v>228.41896133135958</v>
      </c>
      <c r="N123" s="35">
        <f t="shared" si="16"/>
        <v>1.0988579868195918</v>
      </c>
      <c r="O123" s="48">
        <f t="shared" si="17"/>
        <v>239.62500151401375</v>
      </c>
    </row>
    <row r="124" spans="2:15" x14ac:dyDescent="0.3">
      <c r="B124" s="9">
        <v>42459</v>
      </c>
      <c r="C124" s="3" t="s">
        <v>5</v>
      </c>
      <c r="D124" s="3" t="s">
        <v>14</v>
      </c>
      <c r="E124" s="3" t="s">
        <v>12</v>
      </c>
      <c r="F124" s="5" t="s">
        <v>13</v>
      </c>
      <c r="G124" s="25">
        <v>237</v>
      </c>
      <c r="H124" s="3">
        <f t="shared" si="18"/>
        <v>0</v>
      </c>
      <c r="I124" s="3">
        <f t="shared" si="19"/>
        <v>0</v>
      </c>
      <c r="J124" s="3">
        <f t="shared" si="20"/>
        <v>0</v>
      </c>
      <c r="K124" s="35">
        <f t="shared" si="21"/>
        <v>0</v>
      </c>
      <c r="L124" s="3">
        <v>121</v>
      </c>
      <c r="M124" s="35">
        <f t="shared" si="15"/>
        <v>229.27400343383351</v>
      </c>
      <c r="N124" s="35">
        <f t="shared" si="16"/>
        <v>1.0336976562996867</v>
      </c>
      <c r="O124" s="48">
        <f t="shared" si="17"/>
        <v>223.56847583765531</v>
      </c>
    </row>
    <row r="125" spans="2:15" x14ac:dyDescent="0.3">
      <c r="B125" s="9">
        <v>42460</v>
      </c>
      <c r="C125" s="3" t="s">
        <v>6</v>
      </c>
      <c r="D125" s="3" t="s">
        <v>31</v>
      </c>
      <c r="E125" s="3" t="s">
        <v>15</v>
      </c>
      <c r="F125" s="5" t="s">
        <v>13</v>
      </c>
      <c r="G125" s="25">
        <v>219</v>
      </c>
      <c r="H125" s="3">
        <f t="shared" si="18"/>
        <v>0</v>
      </c>
      <c r="I125" s="3">
        <f t="shared" si="19"/>
        <v>0</v>
      </c>
      <c r="J125" s="3">
        <f t="shared" si="20"/>
        <v>0</v>
      </c>
      <c r="K125" s="35">
        <f t="shared" si="21"/>
        <v>0</v>
      </c>
      <c r="L125" s="3">
        <v>122</v>
      </c>
      <c r="M125" s="35">
        <f t="shared" si="15"/>
        <v>230.12904553630744</v>
      </c>
      <c r="N125" s="35">
        <f t="shared" si="16"/>
        <v>0.95163997873292527</v>
      </c>
      <c r="O125" s="48">
        <f t="shared" si="17"/>
        <v>230.69450295627374</v>
      </c>
    </row>
    <row r="126" spans="2:15" x14ac:dyDescent="0.3">
      <c r="B126" s="9">
        <v>42461</v>
      </c>
      <c r="C126" s="3" t="s">
        <v>7</v>
      </c>
      <c r="D126" s="3" t="s">
        <v>31</v>
      </c>
      <c r="E126" s="3" t="s">
        <v>16</v>
      </c>
      <c r="F126" s="5" t="s">
        <v>13</v>
      </c>
      <c r="G126" s="25">
        <v>294</v>
      </c>
      <c r="H126" s="3">
        <f t="shared" si="18"/>
        <v>0</v>
      </c>
      <c r="I126" s="3">
        <f t="shared" si="19"/>
        <v>1</v>
      </c>
      <c r="J126" s="3">
        <f t="shared" si="20"/>
        <v>0</v>
      </c>
      <c r="K126" s="35">
        <f t="shared" si="21"/>
        <v>0</v>
      </c>
      <c r="L126" s="3">
        <v>123</v>
      </c>
      <c r="M126" s="35">
        <f t="shared" si="15"/>
        <v>278.36345163744903</v>
      </c>
      <c r="N126" s="35">
        <f t="shared" si="16"/>
        <v>1.0561731372081009</v>
      </c>
      <c r="O126" s="48">
        <f t="shared" si="17"/>
        <v>290.02703561454956</v>
      </c>
    </row>
    <row r="127" spans="2:15" x14ac:dyDescent="0.3">
      <c r="B127" s="9">
        <v>42462</v>
      </c>
      <c r="C127" s="3" t="s">
        <v>8</v>
      </c>
      <c r="D127" s="3" t="s">
        <v>14</v>
      </c>
      <c r="E127" s="3" t="s">
        <v>16</v>
      </c>
      <c r="F127" s="5" t="s">
        <v>13</v>
      </c>
      <c r="G127" s="25">
        <v>291</v>
      </c>
      <c r="H127" s="3">
        <f t="shared" si="18"/>
        <v>0</v>
      </c>
      <c r="I127" s="3">
        <f t="shared" si="19"/>
        <v>1</v>
      </c>
      <c r="J127" s="3">
        <f t="shared" si="20"/>
        <v>0</v>
      </c>
      <c r="K127" s="35">
        <f t="shared" si="21"/>
        <v>0</v>
      </c>
      <c r="L127" s="3">
        <v>124</v>
      </c>
      <c r="M127" s="35">
        <f t="shared" si="15"/>
        <v>279.21849373992296</v>
      </c>
      <c r="N127" s="35">
        <f t="shared" si="16"/>
        <v>1.0421945770936323</v>
      </c>
      <c r="O127" s="48">
        <f t="shared" si="17"/>
        <v>281.86562797596031</v>
      </c>
    </row>
    <row r="128" spans="2:15" ht="15" thickBot="1" x14ac:dyDescent="0.35">
      <c r="B128" s="10">
        <v>42463</v>
      </c>
      <c r="C128" s="7" t="s">
        <v>9</v>
      </c>
      <c r="D128" s="7" t="s">
        <v>11</v>
      </c>
      <c r="E128" s="7" t="s">
        <v>29</v>
      </c>
      <c r="F128" s="8" t="s">
        <v>13</v>
      </c>
      <c r="G128" s="27">
        <v>310</v>
      </c>
      <c r="H128" s="7">
        <f t="shared" si="18"/>
        <v>1</v>
      </c>
      <c r="I128" s="7">
        <f t="shared" si="19"/>
        <v>0</v>
      </c>
      <c r="J128" s="7">
        <f t="shared" si="20"/>
        <v>1</v>
      </c>
      <c r="K128" s="50">
        <f t="shared" si="21"/>
        <v>0</v>
      </c>
      <c r="L128" s="7">
        <v>125</v>
      </c>
      <c r="M128" s="50">
        <f t="shared" si="15"/>
        <v>333.06877667198808</v>
      </c>
      <c r="N128" s="50">
        <f t="shared" si="16"/>
        <v>0.93073869936866938</v>
      </c>
      <c r="O128" s="43">
        <f t="shared" si="17"/>
        <v>279.09897626980944</v>
      </c>
    </row>
    <row r="129" spans="2:15" ht="15" thickBot="1" x14ac:dyDescent="0.35">
      <c r="B129" s="36">
        <v>42464</v>
      </c>
      <c r="C129" t="s">
        <v>10</v>
      </c>
      <c r="D129" t="s">
        <v>11</v>
      </c>
      <c r="E129" t="s">
        <v>70</v>
      </c>
      <c r="F129" t="s">
        <v>30</v>
      </c>
      <c r="G129">
        <v>200</v>
      </c>
      <c r="H129" s="7">
        <f t="shared" si="18"/>
        <v>0</v>
      </c>
      <c r="I129" s="7">
        <f t="shared" si="19"/>
        <v>0</v>
      </c>
      <c r="J129" s="7">
        <f t="shared" si="20"/>
        <v>1</v>
      </c>
      <c r="K129" s="50">
        <f t="shared" si="21"/>
        <v>1</v>
      </c>
      <c r="L129" s="7">
        <v>125</v>
      </c>
      <c r="M129" s="50">
        <f t="shared" si="15"/>
        <v>218.06386904547441</v>
      </c>
      <c r="N129" s="50">
        <f t="shared" si="16"/>
        <v>0.91716248489699403</v>
      </c>
      <c r="O129" s="43">
        <f t="shared" si="17"/>
        <v>239.06826973080285</v>
      </c>
    </row>
    <row r="130" spans="2:15" ht="15" thickBot="1" x14ac:dyDescent="0.35">
      <c r="B130" s="36">
        <v>42465</v>
      </c>
      <c r="C130" t="s">
        <v>4</v>
      </c>
      <c r="D130" t="s">
        <v>14</v>
      </c>
      <c r="E130" t="s">
        <v>32</v>
      </c>
      <c r="F130" t="s">
        <v>13</v>
      </c>
      <c r="G130">
        <v>440</v>
      </c>
      <c r="H130" s="7">
        <f t="shared" si="18"/>
        <v>1</v>
      </c>
      <c r="I130" s="7">
        <f t="shared" si="19"/>
        <v>0</v>
      </c>
      <c r="J130" s="7">
        <f t="shared" si="20"/>
        <v>0</v>
      </c>
      <c r="K130" s="50">
        <f t="shared" si="21"/>
        <v>0</v>
      </c>
      <c r="L130" s="7">
        <v>125</v>
      </c>
      <c r="M130" s="50">
        <f t="shared" si="15"/>
        <v>301.39138728051176</v>
      </c>
      <c r="N130" s="50">
        <f t="shared" si="16"/>
        <v>1.4598957321580064</v>
      </c>
      <c r="O130" s="43">
        <f t="shared" si="17"/>
        <v>316.17739268429176</v>
      </c>
    </row>
    <row r="131" spans="2:15" ht="15" thickBot="1" x14ac:dyDescent="0.35">
      <c r="B131" s="36">
        <v>42466</v>
      </c>
      <c r="C131" t="s">
        <v>5</v>
      </c>
      <c r="D131" t="s">
        <v>11</v>
      </c>
      <c r="E131" t="s">
        <v>70</v>
      </c>
      <c r="F131" t="s">
        <v>30</v>
      </c>
      <c r="G131">
        <v>220</v>
      </c>
      <c r="H131" s="7">
        <f t="shared" si="18"/>
        <v>0</v>
      </c>
      <c r="I131" s="7">
        <f t="shared" si="19"/>
        <v>0</v>
      </c>
      <c r="J131" s="7">
        <f t="shared" si="20"/>
        <v>1</v>
      </c>
      <c r="K131" s="50">
        <f t="shared" si="21"/>
        <v>1</v>
      </c>
      <c r="L131" s="7">
        <v>125</v>
      </c>
      <c r="M131" s="50">
        <f t="shared" si="15"/>
        <v>218.06386904547441</v>
      </c>
      <c r="N131" s="50">
        <f t="shared" si="16"/>
        <v>1.0088787333866933</v>
      </c>
      <c r="O131" s="43">
        <f t="shared" si="17"/>
        <v>212.63730779590213</v>
      </c>
    </row>
    <row r="132" spans="2:15" ht="15" thickBot="1" x14ac:dyDescent="0.35">
      <c r="B132" s="36">
        <v>42467</v>
      </c>
      <c r="C132" t="s">
        <v>6</v>
      </c>
      <c r="D132" t="s">
        <v>11</v>
      </c>
      <c r="E132" t="s">
        <v>70</v>
      </c>
      <c r="F132" t="s">
        <v>30</v>
      </c>
      <c r="G132">
        <v>220</v>
      </c>
      <c r="H132" s="7">
        <f t="shared" si="18"/>
        <v>0</v>
      </c>
      <c r="I132" s="7">
        <f t="shared" si="19"/>
        <v>0</v>
      </c>
      <c r="J132" s="7">
        <f t="shared" si="20"/>
        <v>1</v>
      </c>
      <c r="K132" s="50">
        <f t="shared" si="21"/>
        <v>1</v>
      </c>
      <c r="L132" s="7">
        <v>125</v>
      </c>
      <c r="M132" s="50">
        <f t="shared" si="15"/>
        <v>218.06386904547441</v>
      </c>
      <c r="N132" s="50">
        <f t="shared" si="16"/>
        <v>1.0088787333866933</v>
      </c>
      <c r="O132" s="43">
        <f t="shared" si="17"/>
        <v>218.59968073535026</v>
      </c>
    </row>
    <row r="133" spans="2:15" ht="15" thickBot="1" x14ac:dyDescent="0.35">
      <c r="B133" s="36">
        <v>42468</v>
      </c>
      <c r="C133" t="s">
        <v>7</v>
      </c>
      <c r="D133" t="s">
        <v>26</v>
      </c>
      <c r="E133" t="s">
        <v>70</v>
      </c>
      <c r="F133" t="s">
        <v>30</v>
      </c>
      <c r="G133">
        <v>200</v>
      </c>
      <c r="H133" s="7">
        <f t="shared" si="18"/>
        <v>0</v>
      </c>
      <c r="I133" s="7">
        <f t="shared" si="19"/>
        <v>0</v>
      </c>
      <c r="J133" s="7">
        <f t="shared" si="20"/>
        <v>0</v>
      </c>
      <c r="K133" s="50">
        <f t="shared" si="21"/>
        <v>1</v>
      </c>
      <c r="L133" s="7">
        <v>125</v>
      </c>
      <c r="M133" s="50">
        <f t="shared" si="15"/>
        <v>186.38647965399815</v>
      </c>
      <c r="N133" s="50">
        <f t="shared" si="16"/>
        <v>1.0730392052646391</v>
      </c>
      <c r="O133" s="43">
        <f t="shared" si="17"/>
        <v>194.19617717302432</v>
      </c>
    </row>
    <row r="134" spans="2:15" ht="15" thickBot="1" x14ac:dyDescent="0.35">
      <c r="B134" s="36">
        <v>42469</v>
      </c>
      <c r="C134" t="s">
        <v>8</v>
      </c>
      <c r="D134" t="s">
        <v>11</v>
      </c>
      <c r="E134" t="s">
        <v>70</v>
      </c>
      <c r="F134" t="s">
        <v>30</v>
      </c>
      <c r="G134">
        <v>8</v>
      </c>
      <c r="H134" s="7">
        <f t="shared" si="18"/>
        <v>0</v>
      </c>
      <c r="I134" s="7">
        <f t="shared" si="19"/>
        <v>0</v>
      </c>
      <c r="J134" s="7">
        <f t="shared" si="20"/>
        <v>1</v>
      </c>
      <c r="K134" s="50">
        <f t="shared" si="21"/>
        <v>1</v>
      </c>
      <c r="L134" s="7">
        <v>125</v>
      </c>
      <c r="M134" s="50">
        <f t="shared" si="15"/>
        <v>218.06386904547441</v>
      </c>
      <c r="N134" s="50">
        <f t="shared" si="16"/>
        <v>3.6686499395879764E-2</v>
      </c>
      <c r="O134" s="43">
        <f t="shared" si="17"/>
        <v>220.1312261379839</v>
      </c>
    </row>
    <row r="135" spans="2:15" ht="15" thickBot="1" x14ac:dyDescent="0.35">
      <c r="B135" s="36">
        <v>42470</v>
      </c>
      <c r="C135" t="s">
        <v>9</v>
      </c>
      <c r="D135" t="s">
        <v>26</v>
      </c>
      <c r="E135" t="s">
        <v>70</v>
      </c>
      <c r="F135" t="s">
        <v>30</v>
      </c>
      <c r="G135">
        <v>151</v>
      </c>
      <c r="H135" s="7">
        <f t="shared" si="18"/>
        <v>0</v>
      </c>
      <c r="I135" s="7">
        <f t="shared" si="19"/>
        <v>0</v>
      </c>
      <c r="J135" s="7">
        <f t="shared" si="20"/>
        <v>0</v>
      </c>
      <c r="K135" s="50">
        <f t="shared" si="21"/>
        <v>1</v>
      </c>
      <c r="L135" s="7">
        <v>125</v>
      </c>
      <c r="M135" s="50">
        <f t="shared" si="15"/>
        <v>186.38647965399815</v>
      </c>
      <c r="N135" s="50">
        <f t="shared" si="16"/>
        <v>0.81014459997480248</v>
      </c>
      <c r="O135" s="43">
        <f t="shared" si="17"/>
        <v>156.18478616263397</v>
      </c>
    </row>
    <row r="136" spans="2:15" ht="15" thickBot="1" x14ac:dyDescent="0.35">
      <c r="B136" s="36">
        <v>42471</v>
      </c>
      <c r="C136" t="s">
        <v>10</v>
      </c>
      <c r="D136" t="s">
        <v>11</v>
      </c>
      <c r="E136" t="s">
        <v>70</v>
      </c>
      <c r="F136" t="s">
        <v>30</v>
      </c>
      <c r="G136">
        <v>151</v>
      </c>
      <c r="H136" s="7">
        <f t="shared" si="18"/>
        <v>0</v>
      </c>
      <c r="I136" s="7">
        <f t="shared" si="19"/>
        <v>0</v>
      </c>
      <c r="J136" s="7">
        <f t="shared" si="20"/>
        <v>1</v>
      </c>
      <c r="K136" s="50">
        <f t="shared" si="21"/>
        <v>1</v>
      </c>
      <c r="L136" s="7">
        <v>125</v>
      </c>
      <c r="M136" s="50">
        <f t="shared" si="15"/>
        <v>218.06386904547441</v>
      </c>
      <c r="N136" s="50">
        <f t="shared" si="16"/>
        <v>0.69245767609723052</v>
      </c>
      <c r="O136" s="43">
        <f t="shared" si="17"/>
        <v>239.06826973080285</v>
      </c>
    </row>
    <row r="137" spans="2:15" ht="15" thickBot="1" x14ac:dyDescent="0.35">
      <c r="B137" s="36">
        <v>42472</v>
      </c>
      <c r="C137" t="s">
        <v>4</v>
      </c>
      <c r="D137" t="s">
        <v>26</v>
      </c>
      <c r="E137" t="s">
        <v>70</v>
      </c>
      <c r="F137" t="s">
        <v>30</v>
      </c>
      <c r="G137">
        <v>156</v>
      </c>
      <c r="H137" s="7">
        <f t="shared" si="18"/>
        <v>0</v>
      </c>
      <c r="I137" s="7">
        <f t="shared" si="19"/>
        <v>0</v>
      </c>
      <c r="J137" s="7">
        <f t="shared" si="20"/>
        <v>0</v>
      </c>
      <c r="K137" s="50">
        <f t="shared" si="21"/>
        <v>1</v>
      </c>
      <c r="L137" s="7">
        <v>125</v>
      </c>
      <c r="M137" s="50">
        <f t="shared" si="15"/>
        <v>186.38647965399815</v>
      </c>
      <c r="N137" s="50">
        <f t="shared" si="16"/>
        <v>0.83697058010641845</v>
      </c>
      <c r="O137" s="43">
        <f t="shared" si="17"/>
        <v>195.5304419955317</v>
      </c>
    </row>
    <row r="138" spans="2:15" ht="15" thickBot="1" x14ac:dyDescent="0.35">
      <c r="B138" s="36">
        <v>42473</v>
      </c>
      <c r="C138" t="s">
        <v>5</v>
      </c>
      <c r="D138" t="s">
        <v>11</v>
      </c>
      <c r="E138" t="s">
        <v>32</v>
      </c>
      <c r="F138" t="s">
        <v>30</v>
      </c>
      <c r="G138">
        <v>155</v>
      </c>
      <c r="H138" s="7">
        <f t="shared" si="18"/>
        <v>1</v>
      </c>
      <c r="I138" s="7">
        <f t="shared" si="19"/>
        <v>0</v>
      </c>
      <c r="J138" s="7">
        <f t="shared" si="20"/>
        <v>1</v>
      </c>
      <c r="K138" s="50">
        <f t="shared" si="21"/>
        <v>1</v>
      </c>
      <c r="L138" s="7">
        <v>125</v>
      </c>
      <c r="M138" s="50">
        <f t="shared" si="15"/>
        <v>286.76108448225693</v>
      </c>
      <c r="N138" s="50">
        <f t="shared" si="16"/>
        <v>0.54051964645011119</v>
      </c>
      <c r="O138" s="43">
        <f t="shared" si="17"/>
        <v>279.62497983663945</v>
      </c>
    </row>
    <row r="139" spans="2:15" ht="15" thickBot="1" x14ac:dyDescent="0.35">
      <c r="B139" s="36"/>
      <c r="H139" s="7"/>
      <c r="I139" s="7"/>
      <c r="J139" s="7"/>
      <c r="K139" s="50"/>
      <c r="L139" s="7"/>
      <c r="M139" s="50"/>
      <c r="N139" s="50"/>
      <c r="O139" s="43"/>
    </row>
    <row r="140" spans="2:15" ht="15" thickBot="1" x14ac:dyDescent="0.35">
      <c r="B140" s="36"/>
      <c r="H140" s="7"/>
      <c r="I140" s="7"/>
      <c r="J140" s="7"/>
      <c r="K140" s="50"/>
      <c r="L140" s="7"/>
      <c r="M140" s="50"/>
      <c r="N140" s="50"/>
      <c r="O140" s="43"/>
    </row>
    <row r="141" spans="2:15" ht="15" thickBot="1" x14ac:dyDescent="0.35">
      <c r="B141" s="36"/>
      <c r="H141" s="7"/>
      <c r="I141" s="7"/>
      <c r="J141" s="7"/>
      <c r="K141" s="50"/>
      <c r="L141" s="7"/>
      <c r="M141" s="50"/>
      <c r="N141" s="50"/>
      <c r="O141" s="43"/>
    </row>
    <row r="142" spans="2:15" ht="15" thickBot="1" x14ac:dyDescent="0.35">
      <c r="B142" s="36"/>
      <c r="H142" s="7"/>
      <c r="I142" s="7"/>
      <c r="J142" s="7"/>
      <c r="K142" s="50"/>
      <c r="L142" s="7"/>
      <c r="M142" s="50"/>
      <c r="N142" s="50"/>
      <c r="O142" s="43"/>
    </row>
    <row r="143" spans="2:15" ht="15" thickBot="1" x14ac:dyDescent="0.35">
      <c r="B143" s="36"/>
      <c r="H143" s="7"/>
      <c r="I143" s="7"/>
      <c r="J143" s="7"/>
      <c r="K143" s="50"/>
      <c r="L143" s="7"/>
      <c r="M143" s="50"/>
      <c r="N143" s="50"/>
      <c r="O143" s="43"/>
    </row>
    <row r="144" spans="2:15" ht="15" thickBot="1" x14ac:dyDescent="0.35">
      <c r="B144" s="36"/>
      <c r="H144" s="7"/>
      <c r="I144" s="7"/>
      <c r="J144" s="7"/>
      <c r="K144" s="50"/>
      <c r="L144" s="7"/>
      <c r="M144" s="50"/>
      <c r="N144" s="50"/>
      <c r="O144" s="43"/>
    </row>
    <row r="145" spans="2:15" ht="15" thickBot="1" x14ac:dyDescent="0.35">
      <c r="B145" s="36"/>
      <c r="H145" s="7"/>
      <c r="I145" s="7"/>
      <c r="J145" s="7"/>
      <c r="K145" s="50"/>
      <c r="L145" s="7"/>
      <c r="M145" s="50"/>
      <c r="N145" s="50"/>
      <c r="O145" s="43"/>
    </row>
  </sheetData>
  <mergeCells count="2">
    <mergeCell ref="D2:F2"/>
    <mergeCell ref="G2:J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W139"/>
  <sheetViews>
    <sheetView topLeftCell="B1" workbookViewId="0">
      <selection activeCell="I4" sqref="I4"/>
    </sheetView>
  </sheetViews>
  <sheetFormatPr defaultRowHeight="14.4" x14ac:dyDescent="0.3"/>
  <sheetData>
    <row r="1" spans="2:20" ht="15" thickBot="1" x14ac:dyDescent="0.35"/>
    <row r="2" spans="2:20" ht="15" thickBot="1" x14ac:dyDescent="0.35">
      <c r="B2" s="2"/>
      <c r="C2" s="1"/>
      <c r="D2" s="61" t="s">
        <v>1</v>
      </c>
      <c r="E2" s="59"/>
      <c r="F2" s="60"/>
      <c r="G2" s="28" t="s">
        <v>27</v>
      </c>
    </row>
    <row r="3" spans="2:20" x14ac:dyDescent="0.3">
      <c r="B3" s="53" t="s">
        <v>0</v>
      </c>
      <c r="C3" s="46" t="s">
        <v>25</v>
      </c>
      <c r="D3" s="46" t="s">
        <v>2</v>
      </c>
      <c r="E3" s="46" t="s">
        <v>3</v>
      </c>
      <c r="F3" s="47" t="s">
        <v>28</v>
      </c>
      <c r="G3" s="54" t="s">
        <v>17</v>
      </c>
      <c r="H3" s="46" t="s">
        <v>33</v>
      </c>
      <c r="I3" s="46" t="s">
        <v>34</v>
      </c>
      <c r="J3" s="46" t="s">
        <v>58</v>
      </c>
      <c r="K3" s="46" t="s">
        <v>63</v>
      </c>
      <c r="L3" s="47" t="s">
        <v>66</v>
      </c>
      <c r="O3" t="s">
        <v>35</v>
      </c>
    </row>
    <row r="4" spans="2:20" ht="15" thickBot="1" x14ac:dyDescent="0.35">
      <c r="B4" s="9">
        <v>42339</v>
      </c>
      <c r="C4" s="3" t="s">
        <v>4</v>
      </c>
      <c r="D4" s="3" t="s">
        <v>11</v>
      </c>
      <c r="E4" s="3" t="s">
        <v>15</v>
      </c>
      <c r="F4" s="5" t="s">
        <v>13</v>
      </c>
      <c r="G4" s="25">
        <v>142</v>
      </c>
      <c r="H4" s="35">
        <f t="shared" ref="H4:H35" si="0">IF(F4="Yes",1,0)</f>
        <v>0</v>
      </c>
      <c r="I4" s="3">
        <v>1</v>
      </c>
      <c r="J4" s="35">
        <f>$P$19+H4*$P$20+$P$21*I4</f>
        <v>159.90064123354159</v>
      </c>
      <c r="K4" s="35">
        <f>G4/J4</f>
        <v>0.88805147311825372</v>
      </c>
      <c r="L4" s="48">
        <f>VLOOKUP(C4,$O$27:$P$33,2,FALSE)*J4</f>
        <v>140.3307752339141</v>
      </c>
    </row>
    <row r="5" spans="2:20" x14ac:dyDescent="0.3">
      <c r="B5" s="9">
        <v>42340</v>
      </c>
      <c r="C5" s="3" t="s">
        <v>5</v>
      </c>
      <c r="D5" s="3" t="s">
        <v>11</v>
      </c>
      <c r="E5" s="3" t="s">
        <v>29</v>
      </c>
      <c r="F5" s="5" t="s">
        <v>13</v>
      </c>
      <c r="G5" s="25">
        <v>153</v>
      </c>
      <c r="H5" s="35">
        <f t="shared" si="0"/>
        <v>0</v>
      </c>
      <c r="I5" s="3">
        <v>2</v>
      </c>
      <c r="J5" s="35">
        <f t="shared" ref="J5:J68" si="1">$P$19+H5*$P$20+$P$21*I5</f>
        <v>160.73838660342514</v>
      </c>
      <c r="K5" s="35">
        <f t="shared" ref="K5:K68" si="2">G5/J5</f>
        <v>0.95185725844992242</v>
      </c>
      <c r="L5" s="48">
        <f t="shared" ref="L5:L68" si="3">VLOOKUP(C5,$O$27:$P$33,2,FALSE)*J5</f>
        <v>151.90257976471361</v>
      </c>
      <c r="O5" s="32" t="s">
        <v>36</v>
      </c>
      <c r="P5" s="32"/>
    </row>
    <row r="6" spans="2:20" x14ac:dyDescent="0.3">
      <c r="B6" s="9">
        <v>42341</v>
      </c>
      <c r="C6" s="3" t="s">
        <v>6</v>
      </c>
      <c r="D6" s="3" t="s">
        <v>14</v>
      </c>
      <c r="E6" s="3" t="s">
        <v>15</v>
      </c>
      <c r="F6" s="5" t="s">
        <v>13</v>
      </c>
      <c r="G6" s="25">
        <v>156</v>
      </c>
      <c r="H6" s="35">
        <f t="shared" si="0"/>
        <v>0</v>
      </c>
      <c r="I6" s="3">
        <v>3</v>
      </c>
      <c r="J6" s="35">
        <f t="shared" si="1"/>
        <v>161.57613197330866</v>
      </c>
      <c r="K6" s="35">
        <f t="shared" si="2"/>
        <v>0.9654891356464097</v>
      </c>
      <c r="L6" s="48">
        <f t="shared" si="3"/>
        <v>152.43687331517137</v>
      </c>
      <c r="O6" s="29" t="s">
        <v>37</v>
      </c>
      <c r="P6" s="29">
        <v>0.65283664508254957</v>
      </c>
    </row>
    <row r="7" spans="2:20" x14ac:dyDescent="0.3">
      <c r="B7" s="9">
        <v>42342</v>
      </c>
      <c r="C7" s="3" t="s">
        <v>7</v>
      </c>
      <c r="D7" s="3" t="s">
        <v>11</v>
      </c>
      <c r="E7" s="3" t="s">
        <v>15</v>
      </c>
      <c r="F7" s="5" t="s">
        <v>13</v>
      </c>
      <c r="G7" s="25">
        <v>155</v>
      </c>
      <c r="H7" s="35">
        <f t="shared" si="0"/>
        <v>0</v>
      </c>
      <c r="I7" s="3">
        <v>4</v>
      </c>
      <c r="J7" s="35">
        <f t="shared" si="1"/>
        <v>162.41387734319221</v>
      </c>
      <c r="K7" s="35">
        <f t="shared" si="2"/>
        <v>0.95435194661644485</v>
      </c>
      <c r="L7" s="48">
        <f t="shared" si="3"/>
        <v>163.04350067034741</v>
      </c>
      <c r="O7" s="29" t="s">
        <v>38</v>
      </c>
      <c r="P7" s="29">
        <v>0.42619568516263884</v>
      </c>
    </row>
    <row r="8" spans="2:20" x14ac:dyDescent="0.3">
      <c r="B8" s="9">
        <v>42343</v>
      </c>
      <c r="C8" s="3" t="s">
        <v>8</v>
      </c>
      <c r="D8" s="3" t="s">
        <v>11</v>
      </c>
      <c r="E8" s="3" t="s">
        <v>15</v>
      </c>
      <c r="F8" s="5" t="s">
        <v>13</v>
      </c>
      <c r="G8" s="25">
        <v>177</v>
      </c>
      <c r="H8" s="35">
        <f t="shared" si="0"/>
        <v>0</v>
      </c>
      <c r="I8" s="3">
        <v>5</v>
      </c>
      <c r="J8" s="35">
        <f t="shared" si="1"/>
        <v>163.25162271307573</v>
      </c>
      <c r="K8" s="35">
        <f t="shared" si="2"/>
        <v>1.0842158690887125</v>
      </c>
      <c r="L8" s="48">
        <f t="shared" si="3"/>
        <v>179.63505063927482</v>
      </c>
      <c r="O8" s="29" t="s">
        <v>39</v>
      </c>
      <c r="P8" s="29">
        <v>0.41678905705055092</v>
      </c>
    </row>
    <row r="9" spans="2:20" x14ac:dyDescent="0.3">
      <c r="B9" s="9">
        <v>42344</v>
      </c>
      <c r="C9" s="3" t="s">
        <v>9</v>
      </c>
      <c r="D9" s="3" t="s">
        <v>14</v>
      </c>
      <c r="E9" s="3" t="s">
        <v>16</v>
      </c>
      <c r="F9" s="5" t="s">
        <v>13</v>
      </c>
      <c r="G9" s="25">
        <v>192</v>
      </c>
      <c r="H9" s="35">
        <f t="shared" si="0"/>
        <v>0</v>
      </c>
      <c r="I9" s="3">
        <v>6</v>
      </c>
      <c r="J9" s="35">
        <f t="shared" si="1"/>
        <v>164.08936808295928</v>
      </c>
      <c r="K9" s="35">
        <f t="shared" si="2"/>
        <v>1.1700940910621938</v>
      </c>
      <c r="L9" s="48">
        <f t="shared" si="3"/>
        <v>191.92492867044851</v>
      </c>
      <c r="O9" s="29" t="s">
        <v>40</v>
      </c>
      <c r="P9" s="29">
        <v>37.187714608834675</v>
      </c>
    </row>
    <row r="10" spans="2:20" ht="15" thickBot="1" x14ac:dyDescent="0.35">
      <c r="B10" s="9">
        <v>42345</v>
      </c>
      <c r="C10" s="3" t="s">
        <v>10</v>
      </c>
      <c r="D10" s="3" t="s">
        <v>11</v>
      </c>
      <c r="E10" s="3" t="s">
        <v>29</v>
      </c>
      <c r="F10" s="5" t="s">
        <v>13</v>
      </c>
      <c r="G10" s="25">
        <v>157</v>
      </c>
      <c r="H10" s="35">
        <f t="shared" si="0"/>
        <v>0</v>
      </c>
      <c r="I10" s="3">
        <v>7</v>
      </c>
      <c r="J10" s="35">
        <f t="shared" si="1"/>
        <v>164.9271134528428</v>
      </c>
      <c r="K10" s="35">
        <f t="shared" si="2"/>
        <v>0.95193565638248201</v>
      </c>
      <c r="L10" s="48">
        <f t="shared" si="3"/>
        <v>158.26163983336323</v>
      </c>
      <c r="O10" s="30" t="s">
        <v>41</v>
      </c>
      <c r="P10" s="30">
        <v>125</v>
      </c>
    </row>
    <row r="11" spans="2:20" x14ac:dyDescent="0.3">
      <c r="B11" s="9">
        <v>42346</v>
      </c>
      <c r="C11" s="3" t="s">
        <v>4</v>
      </c>
      <c r="D11" s="3" t="s">
        <v>11</v>
      </c>
      <c r="E11" s="3" t="s">
        <v>15</v>
      </c>
      <c r="F11" s="5" t="s">
        <v>13</v>
      </c>
      <c r="G11" s="25">
        <v>148</v>
      </c>
      <c r="H11" s="35">
        <f t="shared" si="0"/>
        <v>0</v>
      </c>
      <c r="I11" s="3">
        <v>8</v>
      </c>
      <c r="J11" s="35">
        <f t="shared" si="1"/>
        <v>165.76485882272635</v>
      </c>
      <c r="K11" s="35">
        <f t="shared" si="2"/>
        <v>0.89283097184232152</v>
      </c>
      <c r="L11" s="48">
        <f t="shared" si="3"/>
        <v>145.4772849294489</v>
      </c>
    </row>
    <row r="12" spans="2:20" ht="15" thickBot="1" x14ac:dyDescent="0.35">
      <c r="B12" s="9">
        <v>42347</v>
      </c>
      <c r="C12" s="3" t="s">
        <v>5</v>
      </c>
      <c r="D12" s="3" t="s">
        <v>11</v>
      </c>
      <c r="E12" s="3" t="s">
        <v>16</v>
      </c>
      <c r="F12" s="5" t="s">
        <v>13</v>
      </c>
      <c r="G12" s="25">
        <v>155</v>
      </c>
      <c r="H12" s="35">
        <f t="shared" si="0"/>
        <v>0</v>
      </c>
      <c r="I12" s="3">
        <v>9</v>
      </c>
      <c r="J12" s="35">
        <f t="shared" si="1"/>
        <v>166.60260419260987</v>
      </c>
      <c r="K12" s="35">
        <f t="shared" si="2"/>
        <v>0.9303576060600105</v>
      </c>
      <c r="L12" s="48">
        <f t="shared" si="3"/>
        <v>157.44444066628242</v>
      </c>
      <c r="O12" t="s">
        <v>42</v>
      </c>
    </row>
    <row r="13" spans="2:20" x14ac:dyDescent="0.3">
      <c r="B13" s="9">
        <v>42348</v>
      </c>
      <c r="C13" s="3" t="s">
        <v>6</v>
      </c>
      <c r="D13" s="3" t="s">
        <v>26</v>
      </c>
      <c r="E13" s="3" t="s">
        <v>16</v>
      </c>
      <c r="F13" s="5" t="s">
        <v>13</v>
      </c>
      <c r="G13" s="25">
        <v>162</v>
      </c>
      <c r="H13" s="35">
        <f t="shared" si="0"/>
        <v>0</v>
      </c>
      <c r="I13" s="3">
        <v>10</v>
      </c>
      <c r="J13" s="35">
        <f t="shared" si="1"/>
        <v>167.44034956249342</v>
      </c>
      <c r="K13" s="35">
        <f t="shared" si="2"/>
        <v>0.96750873026299478</v>
      </c>
      <c r="L13" s="48">
        <f t="shared" si="3"/>
        <v>157.96939215206757</v>
      </c>
      <c r="O13" s="31"/>
      <c r="P13" s="31" t="s">
        <v>47</v>
      </c>
      <c r="Q13" s="31" t="s">
        <v>48</v>
      </c>
      <c r="R13" s="31" t="s">
        <v>49</v>
      </c>
      <c r="S13" s="31" t="s">
        <v>50</v>
      </c>
      <c r="T13" s="31" t="s">
        <v>51</v>
      </c>
    </row>
    <row r="14" spans="2:20" x14ac:dyDescent="0.3">
      <c r="B14" s="9">
        <v>42349</v>
      </c>
      <c r="C14" s="3" t="s">
        <v>7</v>
      </c>
      <c r="D14" s="3" t="s">
        <v>14</v>
      </c>
      <c r="E14" s="3" t="s">
        <v>16</v>
      </c>
      <c r="F14" s="5" t="s">
        <v>13</v>
      </c>
      <c r="G14" s="25">
        <v>164</v>
      </c>
      <c r="H14" s="35">
        <f t="shared" si="0"/>
        <v>0</v>
      </c>
      <c r="I14" s="3">
        <v>11</v>
      </c>
      <c r="J14" s="35">
        <f t="shared" si="1"/>
        <v>168.27809493237694</v>
      </c>
      <c r="K14" s="35">
        <f t="shared" si="2"/>
        <v>0.97457723220543879</v>
      </c>
      <c r="L14" s="48">
        <f t="shared" si="3"/>
        <v>168.93045183532053</v>
      </c>
      <c r="O14" s="29" t="s">
        <v>43</v>
      </c>
      <c r="P14" s="29">
        <v>2</v>
      </c>
      <c r="Q14" s="29">
        <v>125315.28562496739</v>
      </c>
      <c r="R14" s="29">
        <v>62657.642812483697</v>
      </c>
      <c r="S14" s="29">
        <v>45.308018993007778</v>
      </c>
      <c r="T14" s="29">
        <v>1.9257166745477692E-15</v>
      </c>
    </row>
    <row r="15" spans="2:20" x14ac:dyDescent="0.3">
      <c r="B15" s="9">
        <v>42350</v>
      </c>
      <c r="C15" s="3" t="s">
        <v>8</v>
      </c>
      <c r="D15" s="3" t="s">
        <v>14</v>
      </c>
      <c r="E15" s="3" t="s">
        <v>16</v>
      </c>
      <c r="F15" s="5" t="s">
        <v>13</v>
      </c>
      <c r="G15" s="25">
        <v>180</v>
      </c>
      <c r="H15" s="35">
        <f t="shared" si="0"/>
        <v>0</v>
      </c>
      <c r="I15" s="3">
        <v>12</v>
      </c>
      <c r="J15" s="35">
        <f t="shared" si="1"/>
        <v>169.11584030226049</v>
      </c>
      <c r="K15" s="35">
        <f t="shared" si="2"/>
        <v>1.0643591970940527</v>
      </c>
      <c r="L15" s="48">
        <f t="shared" si="3"/>
        <v>186.08778296797195</v>
      </c>
      <c r="O15" s="29" t="s">
        <v>44</v>
      </c>
      <c r="P15" s="29">
        <v>122</v>
      </c>
      <c r="Q15" s="29">
        <v>168716.9863750326</v>
      </c>
      <c r="R15" s="29">
        <v>1382.9261178281361</v>
      </c>
      <c r="S15" s="29"/>
      <c r="T15" s="29"/>
    </row>
    <row r="16" spans="2:20" ht="15" thickBot="1" x14ac:dyDescent="0.35">
      <c r="B16" s="9">
        <v>42351</v>
      </c>
      <c r="C16" s="3" t="s">
        <v>9</v>
      </c>
      <c r="D16" s="3" t="s">
        <v>26</v>
      </c>
      <c r="E16" s="3" t="s">
        <v>15</v>
      </c>
      <c r="F16" s="5" t="s">
        <v>13</v>
      </c>
      <c r="G16" s="25">
        <v>199</v>
      </c>
      <c r="H16" s="35">
        <f t="shared" si="0"/>
        <v>0</v>
      </c>
      <c r="I16" s="3">
        <v>13</v>
      </c>
      <c r="J16" s="35">
        <f t="shared" si="1"/>
        <v>169.95358567214402</v>
      </c>
      <c r="K16" s="35">
        <f t="shared" si="2"/>
        <v>1.1709079229660335</v>
      </c>
      <c r="L16" s="48">
        <f t="shared" si="3"/>
        <v>198.78393212485423</v>
      </c>
      <c r="O16" s="30" t="s">
        <v>45</v>
      </c>
      <c r="P16" s="30">
        <v>124</v>
      </c>
      <c r="Q16" s="30">
        <v>294032.272</v>
      </c>
      <c r="R16" s="30"/>
      <c r="S16" s="30"/>
      <c r="T16" s="30"/>
    </row>
    <row r="17" spans="2:23" ht="15" thickBot="1" x14ac:dyDescent="0.35">
      <c r="B17" s="9">
        <v>42352</v>
      </c>
      <c r="C17" s="3" t="s">
        <v>10</v>
      </c>
      <c r="D17" s="3" t="s">
        <v>14</v>
      </c>
      <c r="E17" s="3" t="s">
        <v>29</v>
      </c>
      <c r="F17" s="5" t="s">
        <v>13</v>
      </c>
      <c r="G17" s="25">
        <v>164</v>
      </c>
      <c r="H17" s="35">
        <f t="shared" si="0"/>
        <v>0</v>
      </c>
      <c r="I17" s="3">
        <v>14</v>
      </c>
      <c r="J17" s="35">
        <f t="shared" si="1"/>
        <v>170.79133104202756</v>
      </c>
      <c r="K17" s="35">
        <f t="shared" si="2"/>
        <v>0.96023609043507963</v>
      </c>
      <c r="L17" s="48">
        <f t="shared" si="3"/>
        <v>163.88885704813245</v>
      </c>
    </row>
    <row r="18" spans="2:23" x14ac:dyDescent="0.3">
      <c r="B18" s="9">
        <v>42353</v>
      </c>
      <c r="C18" s="3" t="s">
        <v>4</v>
      </c>
      <c r="D18" s="3" t="s">
        <v>26</v>
      </c>
      <c r="E18" s="3" t="s">
        <v>15</v>
      </c>
      <c r="F18" s="5" t="s">
        <v>13</v>
      </c>
      <c r="G18" s="25">
        <v>151</v>
      </c>
      <c r="H18" s="35">
        <f t="shared" si="0"/>
        <v>0</v>
      </c>
      <c r="I18" s="3">
        <v>15</v>
      </c>
      <c r="J18" s="35">
        <f t="shared" si="1"/>
        <v>171.62907641191109</v>
      </c>
      <c r="K18" s="35">
        <f t="shared" si="2"/>
        <v>0.87980430330813442</v>
      </c>
      <c r="L18" s="48">
        <f t="shared" si="3"/>
        <v>150.62379462498367</v>
      </c>
      <c r="O18" s="31"/>
      <c r="P18" s="31" t="s">
        <v>52</v>
      </c>
      <c r="Q18" s="31" t="s">
        <v>40</v>
      </c>
      <c r="R18" s="31" t="s">
        <v>53</v>
      </c>
      <c r="S18" s="31" t="s">
        <v>54</v>
      </c>
      <c r="T18" s="31" t="s">
        <v>55</v>
      </c>
      <c r="U18" s="31" t="s">
        <v>56</v>
      </c>
      <c r="V18" s="31" t="s">
        <v>86</v>
      </c>
      <c r="W18" s="31" t="s">
        <v>87</v>
      </c>
    </row>
    <row r="19" spans="2:23" x14ac:dyDescent="0.3">
      <c r="B19" s="9">
        <v>42354</v>
      </c>
      <c r="C19" s="3" t="s">
        <v>5</v>
      </c>
      <c r="D19" s="3" t="s">
        <v>11</v>
      </c>
      <c r="E19" s="3" t="s">
        <v>15</v>
      </c>
      <c r="F19" s="5" t="s">
        <v>13</v>
      </c>
      <c r="G19" s="25">
        <v>166</v>
      </c>
      <c r="H19" s="35">
        <f t="shared" si="0"/>
        <v>0</v>
      </c>
      <c r="I19" s="3">
        <v>16</v>
      </c>
      <c r="J19" s="35">
        <f t="shared" si="1"/>
        <v>172.46682178179464</v>
      </c>
      <c r="K19" s="35">
        <f t="shared" si="2"/>
        <v>0.96250396618326695</v>
      </c>
      <c r="L19" s="48">
        <f t="shared" si="3"/>
        <v>162.98630156785123</v>
      </c>
      <c r="O19" s="29" t="s">
        <v>46</v>
      </c>
      <c r="P19" s="29">
        <v>159.06289586365807</v>
      </c>
      <c r="Q19" s="29">
        <v>6.7255532976413859</v>
      </c>
      <c r="R19" s="29">
        <v>23.650529380153831</v>
      </c>
      <c r="S19" s="29">
        <v>2.1498714620818394E-47</v>
      </c>
      <c r="T19" s="29">
        <v>145.74899137289177</v>
      </c>
      <c r="U19" s="29">
        <v>172.37680035442438</v>
      </c>
      <c r="V19" s="29">
        <v>145.74899137289177</v>
      </c>
      <c r="W19" s="29">
        <v>172.37680035442438</v>
      </c>
    </row>
    <row r="20" spans="2:23" x14ac:dyDescent="0.3">
      <c r="B20" s="9">
        <v>42355</v>
      </c>
      <c r="C20" s="3" t="s">
        <v>6</v>
      </c>
      <c r="D20" s="3" t="s">
        <v>14</v>
      </c>
      <c r="E20" s="3" t="s">
        <v>29</v>
      </c>
      <c r="F20" s="5" t="s">
        <v>13</v>
      </c>
      <c r="G20" s="25">
        <v>163</v>
      </c>
      <c r="H20" s="35">
        <f t="shared" si="0"/>
        <v>0</v>
      </c>
      <c r="I20" s="3">
        <v>17</v>
      </c>
      <c r="J20" s="35">
        <f t="shared" si="1"/>
        <v>173.30456715167816</v>
      </c>
      <c r="K20" s="35">
        <f t="shared" si="2"/>
        <v>0.94054070633545694</v>
      </c>
      <c r="L20" s="48">
        <f t="shared" si="3"/>
        <v>163.50191098896374</v>
      </c>
      <c r="O20" s="29" t="s">
        <v>33</v>
      </c>
      <c r="P20" s="29">
        <v>27.172111746355036</v>
      </c>
      <c r="Q20" s="29">
        <v>11.764679133828819</v>
      </c>
      <c r="R20" s="29">
        <v>2.3096347496824472</v>
      </c>
      <c r="S20" s="29">
        <v>2.2589433008883525E-2</v>
      </c>
      <c r="T20" s="29">
        <v>3.8827543625931931</v>
      </c>
      <c r="U20" s="29">
        <v>50.461469130116882</v>
      </c>
      <c r="V20" s="29">
        <v>3.8827543625931931</v>
      </c>
      <c r="W20" s="29">
        <v>50.461469130116882</v>
      </c>
    </row>
    <row r="21" spans="2:23" ht="15" thickBot="1" x14ac:dyDescent="0.35">
      <c r="B21" s="9">
        <v>42356</v>
      </c>
      <c r="C21" s="3" t="s">
        <v>7</v>
      </c>
      <c r="D21" s="3" t="s">
        <v>11</v>
      </c>
      <c r="E21" s="3" t="s">
        <v>15</v>
      </c>
      <c r="F21" s="5" t="s">
        <v>13</v>
      </c>
      <c r="G21" s="25">
        <v>174</v>
      </c>
      <c r="H21" s="35">
        <f t="shared" si="0"/>
        <v>0</v>
      </c>
      <c r="I21" s="3">
        <v>18</v>
      </c>
      <c r="J21" s="35">
        <f t="shared" si="1"/>
        <v>174.14231252156171</v>
      </c>
      <c r="K21" s="35">
        <f t="shared" si="2"/>
        <v>0.99918278033924646</v>
      </c>
      <c r="L21" s="48">
        <f t="shared" si="3"/>
        <v>174.81740300029367</v>
      </c>
      <c r="O21" s="30" t="s">
        <v>34</v>
      </c>
      <c r="P21" s="30">
        <v>0.83774536988353476</v>
      </c>
      <c r="Q21" s="30">
        <v>9.2366258088781253E-2</v>
      </c>
      <c r="R21" s="30">
        <v>9.0698203783280338</v>
      </c>
      <c r="S21" s="30">
        <v>2.4938408634954886E-15</v>
      </c>
      <c r="T21" s="30">
        <v>0.65489713659471771</v>
      </c>
      <c r="U21" s="30">
        <v>1.0205936031723517</v>
      </c>
      <c r="V21" s="30">
        <v>0.65489713659471771</v>
      </c>
      <c r="W21" s="30">
        <v>1.0205936031723517</v>
      </c>
    </row>
    <row r="22" spans="2:23" x14ac:dyDescent="0.3">
      <c r="B22" s="9">
        <v>42357</v>
      </c>
      <c r="C22" s="3" t="s">
        <v>8</v>
      </c>
      <c r="D22" s="3" t="s">
        <v>11</v>
      </c>
      <c r="E22" s="3" t="s">
        <v>12</v>
      </c>
      <c r="F22" s="5" t="s">
        <v>13</v>
      </c>
      <c r="G22" s="25">
        <v>190</v>
      </c>
      <c r="H22" s="35">
        <f t="shared" si="0"/>
        <v>0</v>
      </c>
      <c r="I22" s="3">
        <v>19</v>
      </c>
      <c r="J22" s="35">
        <f t="shared" si="1"/>
        <v>174.98005789144523</v>
      </c>
      <c r="K22" s="35">
        <f t="shared" si="2"/>
        <v>1.085838022284076</v>
      </c>
      <c r="L22" s="48">
        <f t="shared" si="3"/>
        <v>192.54051529666904</v>
      </c>
    </row>
    <row r="23" spans="2:23" x14ac:dyDescent="0.3">
      <c r="B23" s="9">
        <v>42358</v>
      </c>
      <c r="C23" s="3" t="s">
        <v>9</v>
      </c>
      <c r="D23" s="3" t="s">
        <v>11</v>
      </c>
      <c r="E23" s="3" t="s">
        <v>12</v>
      </c>
      <c r="F23" s="5" t="s">
        <v>13</v>
      </c>
      <c r="G23" s="25">
        <v>200</v>
      </c>
      <c r="H23" s="35">
        <f t="shared" si="0"/>
        <v>0</v>
      </c>
      <c r="I23" s="3">
        <v>20</v>
      </c>
      <c r="J23" s="35">
        <f t="shared" si="1"/>
        <v>175.81780326132878</v>
      </c>
      <c r="K23" s="35">
        <f t="shared" si="2"/>
        <v>1.137541228988783</v>
      </c>
      <c r="L23" s="48">
        <f t="shared" si="3"/>
        <v>205.64293557925998</v>
      </c>
    </row>
    <row r="24" spans="2:23" x14ac:dyDescent="0.3">
      <c r="B24" s="9">
        <v>42359</v>
      </c>
      <c r="C24" s="3" t="s">
        <v>10</v>
      </c>
      <c r="D24" s="3" t="s">
        <v>14</v>
      </c>
      <c r="E24" s="3" t="s">
        <v>15</v>
      </c>
      <c r="F24" s="5" t="s">
        <v>13</v>
      </c>
      <c r="G24" s="25">
        <v>172</v>
      </c>
      <c r="H24" s="35">
        <f t="shared" si="0"/>
        <v>0</v>
      </c>
      <c r="I24" s="3">
        <v>21</v>
      </c>
      <c r="J24" s="35">
        <f t="shared" si="1"/>
        <v>176.6555486312123</v>
      </c>
      <c r="K24" s="35">
        <f t="shared" si="2"/>
        <v>0.97364617943062026</v>
      </c>
      <c r="L24" s="48">
        <f t="shared" si="3"/>
        <v>169.51607426290164</v>
      </c>
    </row>
    <row r="25" spans="2:23" ht="15" thickBot="1" x14ac:dyDescent="0.35">
      <c r="B25" s="9">
        <v>42360</v>
      </c>
      <c r="C25" s="3" t="s">
        <v>4</v>
      </c>
      <c r="D25" s="3" t="s">
        <v>14</v>
      </c>
      <c r="E25" s="3" t="s">
        <v>16</v>
      </c>
      <c r="F25" s="5" t="s">
        <v>13</v>
      </c>
      <c r="G25" s="25">
        <v>161</v>
      </c>
      <c r="H25" s="35">
        <f t="shared" si="0"/>
        <v>0</v>
      </c>
      <c r="I25" s="3">
        <v>22</v>
      </c>
      <c r="J25" s="35">
        <f t="shared" si="1"/>
        <v>177.49329400109585</v>
      </c>
      <c r="K25" s="35">
        <f t="shared" si="2"/>
        <v>0.90707652312208475</v>
      </c>
      <c r="L25" s="48">
        <f t="shared" si="3"/>
        <v>155.77030432051848</v>
      </c>
      <c r="O25" s="33"/>
    </row>
    <row r="26" spans="2:23" x14ac:dyDescent="0.3">
      <c r="B26" s="9">
        <v>42361</v>
      </c>
      <c r="C26" s="3" t="s">
        <v>5</v>
      </c>
      <c r="D26" s="3" t="s">
        <v>14</v>
      </c>
      <c r="E26" s="3" t="s">
        <v>29</v>
      </c>
      <c r="F26" s="5" t="s">
        <v>13</v>
      </c>
      <c r="G26" s="25">
        <v>171</v>
      </c>
      <c r="H26" s="35">
        <f t="shared" si="0"/>
        <v>0</v>
      </c>
      <c r="I26" s="3">
        <v>23</v>
      </c>
      <c r="J26" s="35">
        <f t="shared" si="1"/>
        <v>178.33103937097937</v>
      </c>
      <c r="K26" s="35">
        <f t="shared" si="2"/>
        <v>0.95889083921207507</v>
      </c>
      <c r="L26" s="48">
        <f t="shared" si="3"/>
        <v>168.52816246942001</v>
      </c>
      <c r="O26" s="51" t="s">
        <v>65</v>
      </c>
      <c r="P26" s="52" t="s">
        <v>64</v>
      </c>
      <c r="R26" s="51" t="s">
        <v>71</v>
      </c>
      <c r="S26" s="52" t="s">
        <v>72</v>
      </c>
    </row>
    <row r="27" spans="2:23" x14ac:dyDescent="0.3">
      <c r="B27" s="9">
        <v>42362</v>
      </c>
      <c r="C27" s="3" t="s">
        <v>6</v>
      </c>
      <c r="D27" s="3" t="s">
        <v>26</v>
      </c>
      <c r="E27" s="3" t="s">
        <v>29</v>
      </c>
      <c r="F27" s="5" t="s">
        <v>13</v>
      </c>
      <c r="G27" s="25">
        <v>168</v>
      </c>
      <c r="H27" s="35">
        <f t="shared" si="0"/>
        <v>0</v>
      </c>
      <c r="I27" s="3">
        <v>24</v>
      </c>
      <c r="J27" s="35">
        <f t="shared" si="1"/>
        <v>179.16878474086292</v>
      </c>
      <c r="K27" s="35">
        <f t="shared" si="2"/>
        <v>0.9376633337273752</v>
      </c>
      <c r="L27" s="48">
        <f t="shared" si="3"/>
        <v>169.03442982585995</v>
      </c>
      <c r="O27" s="4" t="s">
        <v>4</v>
      </c>
      <c r="P27" s="48">
        <f>SUMIF($C$4:$C$128,$O$27,$K$4:$K$128)/COUNTIF($C$4:$C$128,$O$27)</f>
        <v>0.8776123357063661</v>
      </c>
      <c r="R27" s="55" t="s">
        <v>59</v>
      </c>
      <c r="S27" s="48">
        <f>SUMXMY2($G$4:$G$128,$J$4:$J$128)/COUNT($G$4:$G$128)</f>
        <v>1349.7358910002606</v>
      </c>
    </row>
    <row r="28" spans="2:23" ht="15" thickBot="1" x14ac:dyDescent="0.35">
      <c r="B28" s="9">
        <v>42363</v>
      </c>
      <c r="C28" s="3" t="s">
        <v>7</v>
      </c>
      <c r="D28" s="3" t="s">
        <v>26</v>
      </c>
      <c r="E28" s="3" t="s">
        <v>16</v>
      </c>
      <c r="F28" s="5" t="s">
        <v>30</v>
      </c>
      <c r="G28" s="25">
        <v>192</v>
      </c>
      <c r="H28" s="35">
        <f t="shared" si="0"/>
        <v>1</v>
      </c>
      <c r="I28" s="3">
        <v>25</v>
      </c>
      <c r="J28" s="35">
        <f t="shared" si="1"/>
        <v>207.17864185710147</v>
      </c>
      <c r="K28" s="35">
        <f t="shared" si="2"/>
        <v>0.92673645448660336</v>
      </c>
      <c r="L28" s="48">
        <f t="shared" si="3"/>
        <v>207.98180294121207</v>
      </c>
      <c r="O28" s="55" t="s">
        <v>5</v>
      </c>
      <c r="P28" s="48">
        <f>SUMIF($C$4:$C$128,$O$28,$K$4:$K$128)/COUNTIF($C$4:$C$128,$O$28)</f>
        <v>0.94502988971445079</v>
      </c>
      <c r="R28" s="42" t="s">
        <v>67</v>
      </c>
      <c r="S28" s="43">
        <f>SUMXMY2($G$4:$G$128,$L$4:$L$128)/COUNT($G$4:$G$128)</f>
        <v>912.08384033006689</v>
      </c>
    </row>
    <row r="29" spans="2:23" x14ac:dyDescent="0.3">
      <c r="B29" s="9">
        <v>42364</v>
      </c>
      <c r="C29" s="3" t="s">
        <v>8</v>
      </c>
      <c r="D29" s="3" t="s">
        <v>14</v>
      </c>
      <c r="E29" s="3" t="s">
        <v>15</v>
      </c>
      <c r="F29" s="5" t="s">
        <v>13</v>
      </c>
      <c r="G29" s="25">
        <v>203</v>
      </c>
      <c r="H29" s="35">
        <f t="shared" si="0"/>
        <v>0</v>
      </c>
      <c r="I29" s="3">
        <v>26</v>
      </c>
      <c r="J29" s="35">
        <f t="shared" si="1"/>
        <v>180.84427548062996</v>
      </c>
      <c r="K29" s="35">
        <f t="shared" si="2"/>
        <v>1.1225127223987972</v>
      </c>
      <c r="L29" s="48">
        <f t="shared" si="3"/>
        <v>198.99324762536614</v>
      </c>
      <c r="O29" s="4" t="s">
        <v>6</v>
      </c>
      <c r="P29" s="48">
        <f>SUMIF($C$4:$C$128,$O$29,$K$4:$K$128)/COUNTIF($C$4:$C$128,$O$29)</f>
        <v>0.9434368272929875</v>
      </c>
    </row>
    <row r="30" spans="2:23" x14ac:dyDescent="0.3">
      <c r="B30" s="9">
        <v>42365</v>
      </c>
      <c r="C30" s="3" t="s">
        <v>9</v>
      </c>
      <c r="D30" s="3" t="s">
        <v>14</v>
      </c>
      <c r="E30" s="3" t="s">
        <v>29</v>
      </c>
      <c r="F30" s="5" t="s">
        <v>13</v>
      </c>
      <c r="G30" s="25">
        <v>214</v>
      </c>
      <c r="H30" s="35">
        <f t="shared" si="0"/>
        <v>0</v>
      </c>
      <c r="I30" s="3">
        <v>27</v>
      </c>
      <c r="J30" s="35">
        <f t="shared" si="1"/>
        <v>181.68202085051351</v>
      </c>
      <c r="K30" s="35">
        <f t="shared" si="2"/>
        <v>1.1778820986149061</v>
      </c>
      <c r="L30" s="48">
        <f t="shared" si="3"/>
        <v>212.50193903366571</v>
      </c>
      <c r="O30" s="4" t="s">
        <v>7</v>
      </c>
      <c r="P30" s="48">
        <f>SUMIF($C$4:$C$128,$O$30,$K$4:$K$128)/COUNTIF($C$4:$C$128,$O$30)</f>
        <v>1.0038766596639077</v>
      </c>
    </row>
    <row r="31" spans="2:23" x14ac:dyDescent="0.3">
      <c r="B31" s="9">
        <v>42366</v>
      </c>
      <c r="C31" s="3" t="s">
        <v>10</v>
      </c>
      <c r="D31" s="3" t="s">
        <v>11</v>
      </c>
      <c r="E31" s="3" t="s">
        <v>15</v>
      </c>
      <c r="F31" s="5" t="s">
        <v>13</v>
      </c>
      <c r="G31" s="25">
        <v>180</v>
      </c>
      <c r="H31" s="35">
        <f t="shared" si="0"/>
        <v>0</v>
      </c>
      <c r="I31" s="3">
        <v>28</v>
      </c>
      <c r="J31" s="35">
        <f t="shared" si="1"/>
        <v>182.51976622039706</v>
      </c>
      <c r="K31" s="35">
        <f t="shared" si="2"/>
        <v>0.98619455704674541</v>
      </c>
      <c r="L31" s="48">
        <f t="shared" si="3"/>
        <v>175.14329147767086</v>
      </c>
      <c r="O31" s="4" t="s">
        <v>8</v>
      </c>
      <c r="P31" s="48">
        <f>SUMIF($C$4:$C$128,$O$31,$K$4:$K$128)/COUNTIF($C$4:$C$128,$O$31)</f>
        <v>1.1003569070489052</v>
      </c>
    </row>
    <row r="32" spans="2:23" x14ac:dyDescent="0.3">
      <c r="B32" s="9">
        <v>42367</v>
      </c>
      <c r="C32" s="3" t="s">
        <v>4</v>
      </c>
      <c r="D32" s="3" t="s">
        <v>11</v>
      </c>
      <c r="E32" s="3" t="s">
        <v>29</v>
      </c>
      <c r="F32" s="5" t="s">
        <v>13</v>
      </c>
      <c r="G32" s="25">
        <v>169</v>
      </c>
      <c r="H32" s="35">
        <f t="shared" si="0"/>
        <v>0</v>
      </c>
      <c r="I32" s="3">
        <v>29</v>
      </c>
      <c r="J32" s="35">
        <f t="shared" si="1"/>
        <v>183.35751159028058</v>
      </c>
      <c r="K32" s="35">
        <f t="shared" si="2"/>
        <v>0.92169662717520406</v>
      </c>
      <c r="L32" s="48">
        <f t="shared" si="3"/>
        <v>160.91681401605322</v>
      </c>
      <c r="O32" s="4" t="s">
        <v>9</v>
      </c>
      <c r="P32" s="48">
        <f>SUMIF($C$4:$C$128,$O$32,$K$4:$K$128)/COUNTIF($C$4:$C$128,$O$32)</f>
        <v>1.1696365883584627</v>
      </c>
    </row>
    <row r="33" spans="2:18" ht="15" thickBot="1" x14ac:dyDescent="0.35">
      <c r="B33" s="9">
        <v>42368</v>
      </c>
      <c r="C33" s="3" t="s">
        <v>5</v>
      </c>
      <c r="D33" s="3" t="s">
        <v>11</v>
      </c>
      <c r="E33" s="3" t="s">
        <v>16</v>
      </c>
      <c r="F33" s="5" t="s">
        <v>13</v>
      </c>
      <c r="G33" s="25">
        <v>176</v>
      </c>
      <c r="H33" s="35">
        <f t="shared" si="0"/>
        <v>0</v>
      </c>
      <c r="I33" s="3">
        <v>30</v>
      </c>
      <c r="J33" s="35">
        <f t="shared" si="1"/>
        <v>184.1952569601641</v>
      </c>
      <c r="K33" s="35">
        <f t="shared" si="2"/>
        <v>0.95550777422061151</v>
      </c>
      <c r="L33" s="48">
        <f t="shared" si="3"/>
        <v>174.07002337098879</v>
      </c>
      <c r="O33" s="6" t="s">
        <v>10</v>
      </c>
      <c r="P33" s="43">
        <f>SUMIF($C$4:$C$128,$O$33,$K$4:$K$128)/COUNTIF($C$4:$C$128,$O$33)</f>
        <v>0.95958533754739239</v>
      </c>
      <c r="Q33">
        <v>1</v>
      </c>
      <c r="R33" s="33" t="str">
        <f>_xlfn.CONCAT("Significance of F value is ",IF(T14&lt;0.05,"less","greater")," than 0.05 which means model is ",IF(T14&lt;0.05,"good fit","not good fit"))</f>
        <v>Significance of F value is less than 0.05 which means model is good fit</v>
      </c>
    </row>
    <row r="34" spans="2:18" x14ac:dyDescent="0.3">
      <c r="B34" s="9">
        <v>42369</v>
      </c>
      <c r="C34" s="3" t="s">
        <v>6</v>
      </c>
      <c r="D34" s="3" t="s">
        <v>11</v>
      </c>
      <c r="E34" s="3" t="s">
        <v>29</v>
      </c>
      <c r="F34" s="5" t="s">
        <v>30</v>
      </c>
      <c r="G34" s="25">
        <v>192</v>
      </c>
      <c r="H34" s="35">
        <f t="shared" si="0"/>
        <v>1</v>
      </c>
      <c r="I34" s="3">
        <v>31</v>
      </c>
      <c r="J34" s="35">
        <f t="shared" si="1"/>
        <v>212.20511407640268</v>
      </c>
      <c r="K34" s="35">
        <f t="shared" si="2"/>
        <v>0.90478498049237399</v>
      </c>
      <c r="L34" s="48">
        <f t="shared" si="3"/>
        <v>200.20211955958783</v>
      </c>
      <c r="Q34">
        <v>2</v>
      </c>
      <c r="R34" s="33" t="s">
        <v>84</v>
      </c>
    </row>
    <row r="35" spans="2:18" x14ac:dyDescent="0.3">
      <c r="B35" s="9">
        <v>42370</v>
      </c>
      <c r="C35" s="3" t="s">
        <v>7</v>
      </c>
      <c r="D35" s="3" t="s">
        <v>11</v>
      </c>
      <c r="E35" s="3" t="s">
        <v>15</v>
      </c>
      <c r="F35" s="5" t="s">
        <v>30</v>
      </c>
      <c r="G35" s="25">
        <v>201</v>
      </c>
      <c r="H35" s="35">
        <f t="shared" si="0"/>
        <v>1</v>
      </c>
      <c r="I35" s="3">
        <v>32</v>
      </c>
      <c r="J35" s="35">
        <f t="shared" si="1"/>
        <v>213.0428594462862</v>
      </c>
      <c r="K35" s="35">
        <f t="shared" si="2"/>
        <v>0.94347212820187232</v>
      </c>
      <c r="L35" s="48">
        <f t="shared" si="3"/>
        <v>213.86875410618518</v>
      </c>
      <c r="R35" s="29" t="s">
        <v>33</v>
      </c>
    </row>
    <row r="36" spans="2:18" ht="15" thickBot="1" x14ac:dyDescent="0.35">
      <c r="B36" s="9">
        <v>42371</v>
      </c>
      <c r="C36" s="3" t="s">
        <v>8</v>
      </c>
      <c r="D36" s="3" t="s">
        <v>11</v>
      </c>
      <c r="E36" s="3" t="s">
        <v>12</v>
      </c>
      <c r="F36" s="5" t="s">
        <v>13</v>
      </c>
      <c r="G36" s="25">
        <v>210</v>
      </c>
      <c r="H36" s="35">
        <f t="shared" ref="H36:H67" si="4">IF(F36="Yes",1,0)</f>
        <v>0</v>
      </c>
      <c r="I36" s="3">
        <v>33</v>
      </c>
      <c r="J36" s="35">
        <f t="shared" si="1"/>
        <v>186.70849306981472</v>
      </c>
      <c r="K36" s="35">
        <f t="shared" si="2"/>
        <v>1.124747977701668</v>
      </c>
      <c r="L36" s="48">
        <f t="shared" si="3"/>
        <v>205.44597995406329</v>
      </c>
      <c r="R36" s="30" t="s">
        <v>34</v>
      </c>
    </row>
    <row r="37" spans="2:18" x14ac:dyDescent="0.3">
      <c r="B37" s="9">
        <v>42372</v>
      </c>
      <c r="C37" s="3" t="s">
        <v>9</v>
      </c>
      <c r="D37" s="3" t="s">
        <v>11</v>
      </c>
      <c r="E37" s="3" t="s">
        <v>15</v>
      </c>
      <c r="F37" s="5" t="s">
        <v>13</v>
      </c>
      <c r="G37" s="25">
        <v>220</v>
      </c>
      <c r="H37" s="35">
        <f t="shared" si="4"/>
        <v>0</v>
      </c>
      <c r="I37" s="3">
        <v>34</v>
      </c>
      <c r="J37" s="35">
        <f t="shared" si="1"/>
        <v>187.54623843969824</v>
      </c>
      <c r="K37" s="35">
        <f t="shared" si="2"/>
        <v>1.173044054790449</v>
      </c>
      <c r="L37" s="48">
        <f t="shared" si="3"/>
        <v>219.36094248807143</v>
      </c>
      <c r="Q37">
        <v>3</v>
      </c>
      <c r="R37" s="44" t="s">
        <v>85</v>
      </c>
    </row>
    <row r="38" spans="2:18" x14ac:dyDescent="0.3">
      <c r="B38" s="9">
        <v>42373</v>
      </c>
      <c r="C38" s="3" t="s">
        <v>10</v>
      </c>
      <c r="D38" s="3" t="s">
        <v>11</v>
      </c>
      <c r="E38" s="3" t="s">
        <v>15</v>
      </c>
      <c r="F38" s="5" t="s">
        <v>13</v>
      </c>
      <c r="G38" s="25">
        <v>188</v>
      </c>
      <c r="H38" s="35">
        <f t="shared" si="4"/>
        <v>0</v>
      </c>
      <c r="I38" s="3">
        <v>35</v>
      </c>
      <c r="J38" s="35">
        <f t="shared" si="1"/>
        <v>188.38398380958179</v>
      </c>
      <c r="K38" s="35">
        <f t="shared" si="2"/>
        <v>0.99796169609636287</v>
      </c>
      <c r="L38" s="48">
        <f t="shared" si="3"/>
        <v>180.77050869244005</v>
      </c>
      <c r="Q38">
        <v>4</v>
      </c>
      <c r="R38" s="33" t="str">
        <f>_xlfn.CONCAT("Adjusted R square is ",ROUND(P8,3))</f>
        <v>Adjusted R square is 0.417</v>
      </c>
    </row>
    <row r="39" spans="2:18" x14ac:dyDescent="0.3">
      <c r="B39" s="9">
        <v>42374</v>
      </c>
      <c r="C39" s="3" t="s">
        <v>4</v>
      </c>
      <c r="D39" s="3" t="s">
        <v>11</v>
      </c>
      <c r="E39" s="3" t="s">
        <v>12</v>
      </c>
      <c r="F39" s="5" t="s">
        <v>13</v>
      </c>
      <c r="G39" s="25">
        <v>172</v>
      </c>
      <c r="H39" s="35">
        <f t="shared" si="4"/>
        <v>0</v>
      </c>
      <c r="I39" s="3">
        <v>36</v>
      </c>
      <c r="J39" s="35">
        <f t="shared" si="1"/>
        <v>189.22172917946531</v>
      </c>
      <c r="K39" s="35">
        <f t="shared" si="2"/>
        <v>0.90898651410625497</v>
      </c>
      <c r="L39" s="48">
        <f t="shared" si="3"/>
        <v>166.063323711588</v>
      </c>
    </row>
    <row r="40" spans="2:18" x14ac:dyDescent="0.3">
      <c r="B40" s="9">
        <v>42375</v>
      </c>
      <c r="C40" s="3" t="s">
        <v>5</v>
      </c>
      <c r="D40" s="3" t="s">
        <v>11</v>
      </c>
      <c r="E40" s="3" t="s">
        <v>12</v>
      </c>
      <c r="F40" s="5" t="s">
        <v>13</v>
      </c>
      <c r="G40" s="25">
        <v>188</v>
      </c>
      <c r="H40" s="35">
        <f t="shared" si="4"/>
        <v>0</v>
      </c>
      <c r="I40" s="3">
        <v>37</v>
      </c>
      <c r="J40" s="35">
        <f t="shared" si="1"/>
        <v>190.05947454934886</v>
      </c>
      <c r="K40" s="35">
        <f t="shared" si="2"/>
        <v>0.98916405217770864</v>
      </c>
      <c r="L40" s="48">
        <f t="shared" si="3"/>
        <v>179.61188427255763</v>
      </c>
    </row>
    <row r="41" spans="2:18" x14ac:dyDescent="0.3">
      <c r="B41" s="9">
        <v>42376</v>
      </c>
      <c r="C41" s="3" t="s">
        <v>6</v>
      </c>
      <c r="D41" s="3" t="s">
        <v>11</v>
      </c>
      <c r="E41" s="3" t="s">
        <v>12</v>
      </c>
      <c r="F41" s="5" t="s">
        <v>13</v>
      </c>
      <c r="G41" s="25">
        <v>190</v>
      </c>
      <c r="H41" s="35">
        <f t="shared" si="4"/>
        <v>0</v>
      </c>
      <c r="I41" s="3">
        <v>38</v>
      </c>
      <c r="J41" s="35">
        <f t="shared" si="1"/>
        <v>190.89721991923238</v>
      </c>
      <c r="K41" s="35">
        <f t="shared" si="2"/>
        <v>0.99529998436010758</v>
      </c>
      <c r="L41" s="48">
        <f t="shared" si="3"/>
        <v>180.09946749965229</v>
      </c>
    </row>
    <row r="42" spans="2:18" x14ac:dyDescent="0.3">
      <c r="B42" s="9">
        <v>42377</v>
      </c>
      <c r="C42" s="3" t="s">
        <v>7</v>
      </c>
      <c r="D42" s="3" t="s">
        <v>11</v>
      </c>
      <c r="E42" s="3" t="s">
        <v>15</v>
      </c>
      <c r="F42" s="5" t="s">
        <v>13</v>
      </c>
      <c r="G42" s="25">
        <v>190</v>
      </c>
      <c r="H42" s="35">
        <f t="shared" si="4"/>
        <v>0</v>
      </c>
      <c r="I42" s="3">
        <v>39</v>
      </c>
      <c r="J42" s="35">
        <f t="shared" si="1"/>
        <v>191.73496528911593</v>
      </c>
      <c r="K42" s="35">
        <f t="shared" si="2"/>
        <v>0.99095123163112275</v>
      </c>
      <c r="L42" s="48">
        <f t="shared" si="3"/>
        <v>192.478256495213</v>
      </c>
    </row>
    <row r="43" spans="2:18" x14ac:dyDescent="0.3">
      <c r="B43" s="9">
        <v>42378</v>
      </c>
      <c r="C43" s="3" t="s">
        <v>8</v>
      </c>
      <c r="D43" s="3" t="s">
        <v>11</v>
      </c>
      <c r="E43" s="3" t="s">
        <v>15</v>
      </c>
      <c r="F43" s="5" t="s">
        <v>13</v>
      </c>
      <c r="G43" s="25">
        <v>218</v>
      </c>
      <c r="H43" s="35">
        <f t="shared" si="4"/>
        <v>0</v>
      </c>
      <c r="I43" s="3">
        <v>40</v>
      </c>
      <c r="J43" s="35">
        <f t="shared" si="1"/>
        <v>192.57271065899945</v>
      </c>
      <c r="K43" s="35">
        <f t="shared" si="2"/>
        <v>1.1320399409344466</v>
      </c>
      <c r="L43" s="48">
        <f t="shared" si="3"/>
        <v>211.89871228276039</v>
      </c>
    </row>
    <row r="44" spans="2:18" x14ac:dyDescent="0.3">
      <c r="B44" s="9">
        <v>42379</v>
      </c>
      <c r="C44" s="3" t="s">
        <v>9</v>
      </c>
      <c r="D44" s="3" t="s">
        <v>14</v>
      </c>
      <c r="E44" s="3" t="s">
        <v>16</v>
      </c>
      <c r="F44" s="5" t="s">
        <v>13</v>
      </c>
      <c r="G44" s="25">
        <v>227</v>
      </c>
      <c r="H44" s="35">
        <f t="shared" si="4"/>
        <v>0</v>
      </c>
      <c r="I44" s="3">
        <v>41</v>
      </c>
      <c r="J44" s="35">
        <f t="shared" si="1"/>
        <v>193.410456028883</v>
      </c>
      <c r="K44" s="35">
        <f t="shared" si="2"/>
        <v>1.1736697418577045</v>
      </c>
      <c r="L44" s="48">
        <f t="shared" si="3"/>
        <v>226.21994594247718</v>
      </c>
    </row>
    <row r="45" spans="2:18" x14ac:dyDescent="0.3">
      <c r="B45" s="9">
        <v>42380</v>
      </c>
      <c r="C45" s="3" t="s">
        <v>10</v>
      </c>
      <c r="D45" s="3" t="s">
        <v>11</v>
      </c>
      <c r="E45" s="3" t="s">
        <v>12</v>
      </c>
      <c r="F45" s="5" t="s">
        <v>13</v>
      </c>
      <c r="G45" s="25">
        <v>187</v>
      </c>
      <c r="H45" s="35">
        <f t="shared" si="4"/>
        <v>0</v>
      </c>
      <c r="I45" s="3">
        <v>42</v>
      </c>
      <c r="J45" s="35">
        <f t="shared" si="1"/>
        <v>194.24820139876653</v>
      </c>
      <c r="K45" s="35">
        <f t="shared" si="2"/>
        <v>0.96268587638612468</v>
      </c>
      <c r="L45" s="48">
        <f t="shared" si="3"/>
        <v>186.39772590720924</v>
      </c>
    </row>
    <row r="46" spans="2:18" x14ac:dyDescent="0.3">
      <c r="B46" s="9">
        <v>42381</v>
      </c>
      <c r="C46" s="3" t="s">
        <v>4</v>
      </c>
      <c r="D46" s="3" t="s">
        <v>11</v>
      </c>
      <c r="E46" s="3" t="s">
        <v>15</v>
      </c>
      <c r="F46" s="5" t="s">
        <v>13</v>
      </c>
      <c r="G46" s="25">
        <v>177</v>
      </c>
      <c r="H46" s="35">
        <f t="shared" si="4"/>
        <v>0</v>
      </c>
      <c r="I46" s="3">
        <v>43</v>
      </c>
      <c r="J46" s="35">
        <f t="shared" si="1"/>
        <v>195.08594676865008</v>
      </c>
      <c r="K46" s="35">
        <f t="shared" si="2"/>
        <v>0.90729241614672551</v>
      </c>
      <c r="L46" s="48">
        <f t="shared" si="3"/>
        <v>171.2098334071228</v>
      </c>
    </row>
    <row r="47" spans="2:18" x14ac:dyDescent="0.3">
      <c r="B47" s="9">
        <v>42382</v>
      </c>
      <c r="C47" s="3" t="s">
        <v>5</v>
      </c>
      <c r="D47" s="3" t="s">
        <v>11</v>
      </c>
      <c r="E47" s="3" t="s">
        <v>12</v>
      </c>
      <c r="F47" s="5" t="s">
        <v>13</v>
      </c>
      <c r="G47" s="25">
        <v>190</v>
      </c>
      <c r="H47" s="35">
        <f t="shared" si="4"/>
        <v>0</v>
      </c>
      <c r="I47" s="3">
        <v>44</v>
      </c>
      <c r="J47" s="35">
        <f t="shared" si="1"/>
        <v>195.9236921385336</v>
      </c>
      <c r="K47" s="35">
        <f t="shared" si="2"/>
        <v>0.96976530978017161</v>
      </c>
      <c r="L47" s="48">
        <f t="shared" si="3"/>
        <v>185.15374517412641</v>
      </c>
    </row>
    <row r="48" spans="2:18" x14ac:dyDescent="0.3">
      <c r="B48" s="9">
        <v>42383</v>
      </c>
      <c r="C48" s="3" t="s">
        <v>6</v>
      </c>
      <c r="D48" s="3" t="s">
        <v>11</v>
      </c>
      <c r="E48" s="3" t="s">
        <v>15</v>
      </c>
      <c r="F48" s="5" t="s">
        <v>13</v>
      </c>
      <c r="G48" s="25">
        <v>196</v>
      </c>
      <c r="H48" s="35">
        <f t="shared" si="4"/>
        <v>0</v>
      </c>
      <c r="I48" s="3">
        <v>45</v>
      </c>
      <c r="J48" s="35">
        <f t="shared" si="1"/>
        <v>196.76143750841715</v>
      </c>
      <c r="K48" s="35">
        <f t="shared" si="2"/>
        <v>0.99613014868127003</v>
      </c>
      <c r="L48" s="48">
        <f t="shared" si="3"/>
        <v>185.63198633654849</v>
      </c>
    </row>
    <row r="49" spans="2:12" x14ac:dyDescent="0.3">
      <c r="B49" s="9">
        <v>42384</v>
      </c>
      <c r="C49" s="3" t="s">
        <v>7</v>
      </c>
      <c r="D49" s="3" t="s">
        <v>11</v>
      </c>
      <c r="E49" s="3" t="s">
        <v>15</v>
      </c>
      <c r="F49" s="5" t="s">
        <v>13</v>
      </c>
      <c r="G49" s="25">
        <v>196</v>
      </c>
      <c r="H49" s="35">
        <f t="shared" si="4"/>
        <v>0</v>
      </c>
      <c r="I49" s="3">
        <v>46</v>
      </c>
      <c r="J49" s="35">
        <f t="shared" si="1"/>
        <v>197.59918287830067</v>
      </c>
      <c r="K49" s="35">
        <f t="shared" si="2"/>
        <v>0.99190693577267686</v>
      </c>
      <c r="L49" s="48">
        <f t="shared" si="3"/>
        <v>198.36520766018609</v>
      </c>
    </row>
    <row r="50" spans="2:12" x14ac:dyDescent="0.3">
      <c r="B50" s="9">
        <v>42385</v>
      </c>
      <c r="C50" s="3" t="s">
        <v>8</v>
      </c>
      <c r="D50" s="3" t="s">
        <v>11</v>
      </c>
      <c r="E50" s="3" t="s">
        <v>16</v>
      </c>
      <c r="F50" s="5" t="s">
        <v>13</v>
      </c>
      <c r="G50" s="25">
        <v>226</v>
      </c>
      <c r="H50" s="35">
        <f t="shared" si="4"/>
        <v>0</v>
      </c>
      <c r="I50" s="3">
        <v>47</v>
      </c>
      <c r="J50" s="35">
        <f t="shared" si="1"/>
        <v>198.43692824818419</v>
      </c>
      <c r="K50" s="35">
        <f t="shared" si="2"/>
        <v>1.1389009192751804</v>
      </c>
      <c r="L50" s="48">
        <f t="shared" si="3"/>
        <v>218.35144461145748</v>
      </c>
    </row>
    <row r="51" spans="2:12" x14ac:dyDescent="0.3">
      <c r="B51" s="9">
        <v>42386</v>
      </c>
      <c r="C51" s="3" t="s">
        <v>9</v>
      </c>
      <c r="D51" s="3" t="s">
        <v>11</v>
      </c>
      <c r="E51" s="3" t="s">
        <v>15</v>
      </c>
      <c r="F51" s="5" t="s">
        <v>13</v>
      </c>
      <c r="G51" s="25">
        <v>244</v>
      </c>
      <c r="H51" s="35">
        <f t="shared" si="4"/>
        <v>0</v>
      </c>
      <c r="I51" s="3">
        <v>48</v>
      </c>
      <c r="J51" s="35">
        <f t="shared" si="1"/>
        <v>199.27467361806774</v>
      </c>
      <c r="K51" s="35">
        <f t="shared" si="2"/>
        <v>1.224440595334525</v>
      </c>
      <c r="L51" s="48">
        <f t="shared" si="3"/>
        <v>233.0789493968829</v>
      </c>
    </row>
    <row r="52" spans="2:12" x14ac:dyDescent="0.3">
      <c r="B52" s="9">
        <v>42387</v>
      </c>
      <c r="C52" s="3" t="s">
        <v>10</v>
      </c>
      <c r="D52" s="3" t="s">
        <v>11</v>
      </c>
      <c r="E52" s="3" t="s">
        <v>12</v>
      </c>
      <c r="F52" s="5" t="s">
        <v>30</v>
      </c>
      <c r="G52" s="25">
        <v>210</v>
      </c>
      <c r="H52" s="35">
        <f t="shared" si="4"/>
        <v>1</v>
      </c>
      <c r="I52" s="3">
        <v>49</v>
      </c>
      <c r="J52" s="35">
        <f t="shared" si="1"/>
        <v>227.28453073430632</v>
      </c>
      <c r="K52" s="35">
        <f t="shared" si="2"/>
        <v>0.92395201433875063</v>
      </c>
      <c r="L52" s="48">
        <f t="shared" si="3"/>
        <v>218.09890314398001</v>
      </c>
    </row>
    <row r="53" spans="2:12" x14ac:dyDescent="0.3">
      <c r="B53" s="9">
        <v>42388</v>
      </c>
      <c r="C53" s="3" t="s">
        <v>4</v>
      </c>
      <c r="D53" s="3" t="s">
        <v>11</v>
      </c>
      <c r="E53" s="3" t="s">
        <v>12</v>
      </c>
      <c r="F53" s="5" t="s">
        <v>13</v>
      </c>
      <c r="G53" s="25">
        <v>182</v>
      </c>
      <c r="H53" s="35">
        <f t="shared" si="4"/>
        <v>0</v>
      </c>
      <c r="I53" s="3">
        <v>50</v>
      </c>
      <c r="J53" s="35">
        <f t="shared" si="1"/>
        <v>200.95016435783481</v>
      </c>
      <c r="K53" s="35">
        <f t="shared" si="2"/>
        <v>0.9056971940361791</v>
      </c>
      <c r="L53" s="48">
        <f t="shared" si="3"/>
        <v>176.35634310265758</v>
      </c>
    </row>
    <row r="54" spans="2:12" x14ac:dyDescent="0.3">
      <c r="B54" s="9">
        <v>42389</v>
      </c>
      <c r="C54" s="3" t="s">
        <v>5</v>
      </c>
      <c r="D54" s="3" t="s">
        <v>11</v>
      </c>
      <c r="E54" s="3" t="s">
        <v>15</v>
      </c>
      <c r="F54" s="5" t="s">
        <v>13</v>
      </c>
      <c r="G54" s="25">
        <v>202</v>
      </c>
      <c r="H54" s="35">
        <f t="shared" si="4"/>
        <v>0</v>
      </c>
      <c r="I54" s="3">
        <v>51</v>
      </c>
      <c r="J54" s="35">
        <f t="shared" si="1"/>
        <v>201.78790972771833</v>
      </c>
      <c r="K54" s="35">
        <f t="shared" si="2"/>
        <v>1.0010510554005334</v>
      </c>
      <c r="L54" s="48">
        <f t="shared" si="3"/>
        <v>190.6956060756952</v>
      </c>
    </row>
    <row r="55" spans="2:12" x14ac:dyDescent="0.3">
      <c r="B55" s="9">
        <v>42390</v>
      </c>
      <c r="C55" s="3" t="s">
        <v>6</v>
      </c>
      <c r="D55" s="3" t="s">
        <v>11</v>
      </c>
      <c r="E55" s="3" t="s">
        <v>12</v>
      </c>
      <c r="F55" s="5" t="s">
        <v>13</v>
      </c>
      <c r="G55" s="25">
        <v>201</v>
      </c>
      <c r="H55" s="35">
        <f t="shared" si="4"/>
        <v>0</v>
      </c>
      <c r="I55" s="3">
        <v>52</v>
      </c>
      <c r="J55" s="35">
        <f t="shared" si="1"/>
        <v>202.62565509760188</v>
      </c>
      <c r="K55" s="35">
        <f t="shared" si="2"/>
        <v>0.99197705198377362</v>
      </c>
      <c r="L55" s="48">
        <f t="shared" si="3"/>
        <v>191.16450517344467</v>
      </c>
    </row>
    <row r="56" spans="2:12" x14ac:dyDescent="0.3">
      <c r="B56" s="9">
        <v>42391</v>
      </c>
      <c r="C56" s="3" t="s">
        <v>7</v>
      </c>
      <c r="D56" s="3" t="s">
        <v>11</v>
      </c>
      <c r="E56" s="3" t="s">
        <v>12</v>
      </c>
      <c r="F56" s="5" t="s">
        <v>13</v>
      </c>
      <c r="G56" s="25">
        <v>212</v>
      </c>
      <c r="H56" s="35">
        <f t="shared" si="4"/>
        <v>0</v>
      </c>
      <c r="I56" s="3">
        <v>53</v>
      </c>
      <c r="J56" s="35">
        <f t="shared" si="1"/>
        <v>203.46340046748543</v>
      </c>
      <c r="K56" s="35">
        <f t="shared" si="2"/>
        <v>1.0419564379288881</v>
      </c>
      <c r="L56" s="48">
        <f t="shared" si="3"/>
        <v>204.25215882515923</v>
      </c>
    </row>
    <row r="57" spans="2:12" x14ac:dyDescent="0.3">
      <c r="B57" s="9">
        <v>42392</v>
      </c>
      <c r="C57" s="3" t="s">
        <v>8</v>
      </c>
      <c r="D57" s="3" t="s">
        <v>11</v>
      </c>
      <c r="E57" s="3" t="s">
        <v>15</v>
      </c>
      <c r="F57" s="5" t="s">
        <v>13</v>
      </c>
      <c r="G57" s="25">
        <v>229</v>
      </c>
      <c r="H57" s="35">
        <f t="shared" si="4"/>
        <v>0</v>
      </c>
      <c r="I57" s="3">
        <v>54</v>
      </c>
      <c r="J57" s="35">
        <f t="shared" si="1"/>
        <v>204.30114583736895</v>
      </c>
      <c r="K57" s="35">
        <f t="shared" si="2"/>
        <v>1.120894349668955</v>
      </c>
      <c r="L57" s="48">
        <f t="shared" si="3"/>
        <v>224.8041769401546</v>
      </c>
    </row>
    <row r="58" spans="2:12" x14ac:dyDescent="0.3">
      <c r="B58" s="9">
        <v>42393</v>
      </c>
      <c r="C58" s="3" t="s">
        <v>9</v>
      </c>
      <c r="D58" s="3" t="s">
        <v>11</v>
      </c>
      <c r="E58" s="3" t="s">
        <v>12</v>
      </c>
      <c r="F58" s="5" t="s">
        <v>13</v>
      </c>
      <c r="G58" s="25">
        <v>249</v>
      </c>
      <c r="H58" s="35">
        <f t="shared" si="4"/>
        <v>0</v>
      </c>
      <c r="I58" s="3">
        <v>55</v>
      </c>
      <c r="J58" s="35">
        <f t="shared" si="1"/>
        <v>205.13889120725247</v>
      </c>
      <c r="K58" s="35">
        <f t="shared" si="2"/>
        <v>1.2138117669186117</v>
      </c>
      <c r="L58" s="48">
        <f t="shared" si="3"/>
        <v>239.93795285128863</v>
      </c>
    </row>
    <row r="59" spans="2:12" x14ac:dyDescent="0.3">
      <c r="B59" s="9">
        <v>42394</v>
      </c>
      <c r="C59" s="3" t="s">
        <v>10</v>
      </c>
      <c r="D59" s="3" t="s">
        <v>11</v>
      </c>
      <c r="E59" s="3" t="s">
        <v>15</v>
      </c>
      <c r="F59" s="5" t="s">
        <v>13</v>
      </c>
      <c r="G59" s="25">
        <v>204</v>
      </c>
      <c r="H59" s="35">
        <f t="shared" si="4"/>
        <v>0</v>
      </c>
      <c r="I59" s="3">
        <v>56</v>
      </c>
      <c r="J59" s="35">
        <f t="shared" si="1"/>
        <v>205.97663657713602</v>
      </c>
      <c r="K59" s="35">
        <f t="shared" si="2"/>
        <v>0.9904035884361293</v>
      </c>
      <c r="L59" s="48">
        <f t="shared" si="3"/>
        <v>197.65216033674764</v>
      </c>
    </row>
    <row r="60" spans="2:12" x14ac:dyDescent="0.3">
      <c r="B60" s="9">
        <v>42395</v>
      </c>
      <c r="C60" s="3" t="s">
        <v>4</v>
      </c>
      <c r="D60" s="3" t="s">
        <v>14</v>
      </c>
      <c r="E60" s="3" t="s">
        <v>15</v>
      </c>
      <c r="F60" s="5" t="s">
        <v>13</v>
      </c>
      <c r="G60" s="25">
        <v>192</v>
      </c>
      <c r="H60" s="35">
        <f t="shared" si="4"/>
        <v>0</v>
      </c>
      <c r="I60" s="3">
        <v>57</v>
      </c>
      <c r="J60" s="35">
        <f t="shared" si="1"/>
        <v>206.81438194701957</v>
      </c>
      <c r="K60" s="35">
        <f t="shared" si="2"/>
        <v>0.92836870527304705</v>
      </c>
      <c r="L60" s="48">
        <f t="shared" si="3"/>
        <v>181.50285279819235</v>
      </c>
    </row>
    <row r="61" spans="2:12" x14ac:dyDescent="0.3">
      <c r="B61" s="9">
        <v>42396</v>
      </c>
      <c r="C61" s="3" t="s">
        <v>5</v>
      </c>
      <c r="D61" s="3" t="s">
        <v>14</v>
      </c>
      <c r="E61" s="3" t="s">
        <v>15</v>
      </c>
      <c r="F61" s="5" t="s">
        <v>13</v>
      </c>
      <c r="G61" s="25">
        <v>206</v>
      </c>
      <c r="H61" s="35">
        <f t="shared" si="4"/>
        <v>0</v>
      </c>
      <c r="I61" s="3">
        <v>58</v>
      </c>
      <c r="J61" s="35">
        <f t="shared" si="1"/>
        <v>207.65212731690309</v>
      </c>
      <c r="K61" s="35">
        <f t="shared" si="2"/>
        <v>0.99204377369858709</v>
      </c>
      <c r="L61" s="48">
        <f t="shared" si="3"/>
        <v>196.23746697726403</v>
      </c>
    </row>
    <row r="62" spans="2:12" x14ac:dyDescent="0.3">
      <c r="B62" s="9">
        <v>42397</v>
      </c>
      <c r="C62" s="3" t="s">
        <v>6</v>
      </c>
      <c r="D62" s="3" t="s">
        <v>11</v>
      </c>
      <c r="E62" s="3" t="s">
        <v>15</v>
      </c>
      <c r="F62" s="5" t="s">
        <v>13</v>
      </c>
      <c r="G62" s="25">
        <v>203</v>
      </c>
      <c r="H62" s="35">
        <f t="shared" si="4"/>
        <v>0</v>
      </c>
      <c r="I62" s="3">
        <v>59</v>
      </c>
      <c r="J62" s="35">
        <f t="shared" si="1"/>
        <v>208.48987268678661</v>
      </c>
      <c r="K62" s="35">
        <f t="shared" si="2"/>
        <v>0.97366839637801483</v>
      </c>
      <c r="L62" s="48">
        <f t="shared" si="3"/>
        <v>196.69702401034084</v>
      </c>
    </row>
    <row r="63" spans="2:12" x14ac:dyDescent="0.3">
      <c r="B63" s="9">
        <v>42398</v>
      </c>
      <c r="C63" s="3" t="s">
        <v>7</v>
      </c>
      <c r="D63" s="3" t="s">
        <v>11</v>
      </c>
      <c r="E63" s="3" t="s">
        <v>15</v>
      </c>
      <c r="F63" s="5" t="s">
        <v>13</v>
      </c>
      <c r="G63" s="25">
        <v>212</v>
      </c>
      <c r="H63" s="35">
        <f t="shared" si="4"/>
        <v>0</v>
      </c>
      <c r="I63" s="3">
        <v>60</v>
      </c>
      <c r="J63" s="35">
        <f t="shared" si="1"/>
        <v>209.32761805667016</v>
      </c>
      <c r="K63" s="35">
        <f t="shared" si="2"/>
        <v>1.0127665043348764</v>
      </c>
      <c r="L63" s="48">
        <f t="shared" si="3"/>
        <v>210.13910999013234</v>
      </c>
    </row>
    <row r="64" spans="2:12" x14ac:dyDescent="0.3">
      <c r="B64" s="9">
        <v>42399</v>
      </c>
      <c r="C64" s="3" t="s">
        <v>8</v>
      </c>
      <c r="D64" s="3" t="s">
        <v>11</v>
      </c>
      <c r="E64" s="3" t="s">
        <v>15</v>
      </c>
      <c r="F64" s="5" t="s">
        <v>13</v>
      </c>
      <c r="G64" s="25">
        <v>239</v>
      </c>
      <c r="H64" s="35">
        <f t="shared" si="4"/>
        <v>0</v>
      </c>
      <c r="I64" s="3">
        <v>61</v>
      </c>
      <c r="J64" s="35">
        <f t="shared" si="1"/>
        <v>210.16536342655368</v>
      </c>
      <c r="K64" s="35">
        <f t="shared" si="2"/>
        <v>1.1371997559603733</v>
      </c>
      <c r="L64" s="48">
        <f t="shared" si="3"/>
        <v>231.2569092688517</v>
      </c>
    </row>
    <row r="65" spans="2:12" x14ac:dyDescent="0.3">
      <c r="B65" s="9">
        <v>42400</v>
      </c>
      <c r="C65" s="3" t="s">
        <v>9</v>
      </c>
      <c r="D65" s="3" t="s">
        <v>14</v>
      </c>
      <c r="E65" s="3" t="s">
        <v>15</v>
      </c>
      <c r="F65" s="5" t="s">
        <v>13</v>
      </c>
      <c r="G65" s="25">
        <v>253</v>
      </c>
      <c r="H65" s="35">
        <f t="shared" si="4"/>
        <v>0</v>
      </c>
      <c r="I65" s="3">
        <v>62</v>
      </c>
      <c r="J65" s="35">
        <f t="shared" si="1"/>
        <v>211.00310879643723</v>
      </c>
      <c r="K65" s="35">
        <f t="shared" si="2"/>
        <v>1.1990344665683517</v>
      </c>
      <c r="L65" s="48">
        <f t="shared" si="3"/>
        <v>246.79695630569438</v>
      </c>
    </row>
    <row r="66" spans="2:12" x14ac:dyDescent="0.3">
      <c r="B66" s="9">
        <v>42401</v>
      </c>
      <c r="C66" s="3" t="s">
        <v>10</v>
      </c>
      <c r="D66" s="3" t="s">
        <v>26</v>
      </c>
      <c r="E66" s="3" t="s">
        <v>15</v>
      </c>
      <c r="F66" s="5" t="s">
        <v>13</v>
      </c>
      <c r="G66" s="25">
        <v>205</v>
      </c>
      <c r="H66" s="35">
        <f t="shared" si="4"/>
        <v>0</v>
      </c>
      <c r="I66" s="3">
        <v>63</v>
      </c>
      <c r="J66" s="35">
        <f t="shared" si="1"/>
        <v>211.84085416632075</v>
      </c>
      <c r="K66" s="35">
        <f t="shared" si="2"/>
        <v>0.96770757844022925</v>
      </c>
      <c r="L66" s="48">
        <f t="shared" si="3"/>
        <v>203.27937755151683</v>
      </c>
    </row>
    <row r="67" spans="2:12" x14ac:dyDescent="0.3">
      <c r="B67" s="9">
        <v>42402</v>
      </c>
      <c r="C67" s="3" t="s">
        <v>4</v>
      </c>
      <c r="D67" s="3" t="s">
        <v>14</v>
      </c>
      <c r="E67" s="3" t="s">
        <v>15</v>
      </c>
      <c r="F67" s="5" t="s">
        <v>13</v>
      </c>
      <c r="G67" s="25">
        <v>194</v>
      </c>
      <c r="H67" s="35">
        <f t="shared" si="4"/>
        <v>0</v>
      </c>
      <c r="I67" s="3">
        <v>64</v>
      </c>
      <c r="J67" s="35">
        <f t="shared" si="1"/>
        <v>212.6785995362043</v>
      </c>
      <c r="K67" s="35">
        <f t="shared" si="2"/>
        <v>0.91217452260388499</v>
      </c>
      <c r="L67" s="48">
        <f t="shared" si="3"/>
        <v>186.64936249372712</v>
      </c>
    </row>
    <row r="68" spans="2:12" x14ac:dyDescent="0.3">
      <c r="B68" s="9">
        <v>42403</v>
      </c>
      <c r="C68" s="3" t="s">
        <v>5</v>
      </c>
      <c r="D68" s="3" t="s">
        <v>14</v>
      </c>
      <c r="E68" s="3" t="s">
        <v>16</v>
      </c>
      <c r="F68" s="5" t="s">
        <v>13</v>
      </c>
      <c r="G68" s="25">
        <v>210</v>
      </c>
      <c r="H68" s="35">
        <f t="shared" ref="H68:H99" si="5">IF(F68="Yes",1,0)</f>
        <v>0</v>
      </c>
      <c r="I68" s="3">
        <v>65</v>
      </c>
      <c r="J68" s="35">
        <f t="shared" si="1"/>
        <v>213.51634490608782</v>
      </c>
      <c r="K68" s="35">
        <f t="shared" si="2"/>
        <v>0.98353126123606871</v>
      </c>
      <c r="L68" s="48">
        <f t="shared" si="3"/>
        <v>201.77932787883282</v>
      </c>
    </row>
    <row r="69" spans="2:12" x14ac:dyDescent="0.3">
      <c r="B69" s="9">
        <v>42404</v>
      </c>
      <c r="C69" s="3" t="s">
        <v>6</v>
      </c>
      <c r="D69" s="3" t="s">
        <v>14</v>
      </c>
      <c r="E69" s="3" t="s">
        <v>15</v>
      </c>
      <c r="F69" s="5" t="s">
        <v>13</v>
      </c>
      <c r="G69" s="25">
        <v>212</v>
      </c>
      <c r="H69" s="35">
        <f t="shared" si="5"/>
        <v>0</v>
      </c>
      <c r="I69" s="3">
        <v>66</v>
      </c>
      <c r="J69" s="35">
        <f t="shared" ref="J69:J138" si="6">$P$19+H69*$P$20+$P$21*I69</f>
        <v>214.35409027597137</v>
      </c>
      <c r="K69" s="35">
        <f t="shared" ref="K69:K138" si="7">G69/J69</f>
        <v>0.98901774968259026</v>
      </c>
      <c r="L69" s="48">
        <f t="shared" ref="L69:L138" si="8">VLOOKUP(C69,$O$27:$P$33,2,FALSE)*J69</f>
        <v>202.22954284723704</v>
      </c>
    </row>
    <row r="70" spans="2:12" x14ac:dyDescent="0.3">
      <c r="B70" s="9">
        <v>42405</v>
      </c>
      <c r="C70" s="3" t="s">
        <v>7</v>
      </c>
      <c r="D70" s="3" t="s">
        <v>11</v>
      </c>
      <c r="E70" s="3" t="s">
        <v>16</v>
      </c>
      <c r="F70" s="5" t="s">
        <v>13</v>
      </c>
      <c r="G70" s="25">
        <v>226</v>
      </c>
      <c r="H70" s="35">
        <f t="shared" si="5"/>
        <v>0</v>
      </c>
      <c r="I70" s="3">
        <v>67</v>
      </c>
      <c r="J70" s="35">
        <f t="shared" si="6"/>
        <v>215.19183564585489</v>
      </c>
      <c r="K70" s="35">
        <f t="shared" si="7"/>
        <v>1.0502257175403824</v>
      </c>
      <c r="L70" s="48">
        <f t="shared" si="8"/>
        <v>216.02606115510542</v>
      </c>
    </row>
    <row r="71" spans="2:12" x14ac:dyDescent="0.3">
      <c r="B71" s="9">
        <v>42406</v>
      </c>
      <c r="C71" s="3" t="s">
        <v>8</v>
      </c>
      <c r="D71" s="3" t="s">
        <v>11</v>
      </c>
      <c r="E71" s="3" t="s">
        <v>15</v>
      </c>
      <c r="F71" s="5" t="s">
        <v>13</v>
      </c>
      <c r="G71" s="25">
        <v>252</v>
      </c>
      <c r="H71" s="35">
        <f t="shared" si="5"/>
        <v>0</v>
      </c>
      <c r="I71" s="3">
        <v>68</v>
      </c>
      <c r="J71" s="35">
        <f t="shared" si="6"/>
        <v>216.02958101573844</v>
      </c>
      <c r="K71" s="35">
        <f t="shared" si="7"/>
        <v>1.1665069145398241</v>
      </c>
      <c r="L71" s="48">
        <f t="shared" si="8"/>
        <v>237.70964159754885</v>
      </c>
    </row>
    <row r="72" spans="2:12" x14ac:dyDescent="0.3">
      <c r="B72" s="9">
        <v>42407</v>
      </c>
      <c r="C72" s="3" t="s">
        <v>9</v>
      </c>
      <c r="D72" s="3" t="s">
        <v>11</v>
      </c>
      <c r="E72" s="3" t="s">
        <v>15</v>
      </c>
      <c r="F72" s="5" t="s">
        <v>13</v>
      </c>
      <c r="G72" s="25">
        <v>263</v>
      </c>
      <c r="H72" s="35">
        <f t="shared" si="5"/>
        <v>0</v>
      </c>
      <c r="I72" s="3">
        <v>69</v>
      </c>
      <c r="J72" s="35">
        <f t="shared" si="6"/>
        <v>216.86732638562196</v>
      </c>
      <c r="K72" s="35">
        <f t="shared" si="7"/>
        <v>1.2127230246401772</v>
      </c>
      <c r="L72" s="48">
        <f t="shared" si="8"/>
        <v>253.6559597601001</v>
      </c>
    </row>
    <row r="73" spans="2:12" x14ac:dyDescent="0.3">
      <c r="B73" s="9">
        <v>42408</v>
      </c>
      <c r="C73" s="3" t="s">
        <v>10</v>
      </c>
      <c r="D73" s="3" t="s">
        <v>11</v>
      </c>
      <c r="E73" s="3" t="s">
        <v>15</v>
      </c>
      <c r="F73" s="5" t="s">
        <v>30</v>
      </c>
      <c r="G73" s="25">
        <v>230</v>
      </c>
      <c r="H73" s="35">
        <f t="shared" si="5"/>
        <v>1</v>
      </c>
      <c r="I73" s="3">
        <v>70</v>
      </c>
      <c r="J73" s="35">
        <f t="shared" si="6"/>
        <v>244.87718350186054</v>
      </c>
      <c r="K73" s="35">
        <f t="shared" si="7"/>
        <v>0.93924634672324414</v>
      </c>
      <c r="L73" s="48">
        <f t="shared" si="8"/>
        <v>234.98055478828761</v>
      </c>
    </row>
    <row r="74" spans="2:12" x14ac:dyDescent="0.3">
      <c r="B74" s="9">
        <v>42409</v>
      </c>
      <c r="C74" s="3" t="s">
        <v>4</v>
      </c>
      <c r="D74" s="3" t="s">
        <v>11</v>
      </c>
      <c r="E74" s="3" t="s">
        <v>15</v>
      </c>
      <c r="F74" s="5" t="s">
        <v>13</v>
      </c>
      <c r="G74" s="25">
        <v>198</v>
      </c>
      <c r="H74" s="35">
        <f t="shared" si="5"/>
        <v>0</v>
      </c>
      <c r="I74" s="3">
        <v>71</v>
      </c>
      <c r="J74" s="35">
        <f t="shared" si="6"/>
        <v>218.54281712538904</v>
      </c>
      <c r="K74" s="35">
        <f t="shared" si="7"/>
        <v>0.90600095031445216</v>
      </c>
      <c r="L74" s="48">
        <f t="shared" si="8"/>
        <v>191.7958721892619</v>
      </c>
    </row>
    <row r="75" spans="2:12" x14ac:dyDescent="0.3">
      <c r="B75" s="9">
        <v>42410</v>
      </c>
      <c r="C75" s="3" t="s">
        <v>5</v>
      </c>
      <c r="D75" s="3" t="s">
        <v>11</v>
      </c>
      <c r="E75" s="3" t="s">
        <v>16</v>
      </c>
      <c r="F75" s="5" t="s">
        <v>30</v>
      </c>
      <c r="G75" s="25">
        <v>233</v>
      </c>
      <c r="H75" s="35">
        <f t="shared" si="5"/>
        <v>1</v>
      </c>
      <c r="I75" s="3">
        <v>72</v>
      </c>
      <c r="J75" s="35">
        <f t="shared" si="6"/>
        <v>246.55267424162759</v>
      </c>
      <c r="K75" s="35">
        <f t="shared" si="7"/>
        <v>0.9450313232930273</v>
      </c>
      <c r="L75" s="48">
        <f t="shared" si="8"/>
        <v>232.99964654736823</v>
      </c>
    </row>
    <row r="76" spans="2:12" x14ac:dyDescent="0.3">
      <c r="B76" s="9">
        <v>42411</v>
      </c>
      <c r="C76" s="3" t="s">
        <v>6</v>
      </c>
      <c r="D76" s="3" t="s">
        <v>11</v>
      </c>
      <c r="E76" s="3" t="s">
        <v>12</v>
      </c>
      <c r="F76" s="5" t="s">
        <v>13</v>
      </c>
      <c r="G76" s="25">
        <v>214</v>
      </c>
      <c r="H76" s="35">
        <f t="shared" si="5"/>
        <v>0</v>
      </c>
      <c r="I76" s="3">
        <v>73</v>
      </c>
      <c r="J76" s="35">
        <f t="shared" si="6"/>
        <v>220.21830786515611</v>
      </c>
      <c r="K76" s="35">
        <f t="shared" si="7"/>
        <v>0.97176298407958117</v>
      </c>
      <c r="L76" s="48">
        <f t="shared" si="8"/>
        <v>207.76206168413324</v>
      </c>
    </row>
    <row r="77" spans="2:12" x14ac:dyDescent="0.3">
      <c r="B77" s="9">
        <v>42412</v>
      </c>
      <c r="C77" s="3" t="s">
        <v>7</v>
      </c>
      <c r="D77" s="3" t="s">
        <v>11</v>
      </c>
      <c r="E77" s="3" t="s">
        <v>15</v>
      </c>
      <c r="F77" s="5" t="s">
        <v>13</v>
      </c>
      <c r="G77" s="25">
        <v>225</v>
      </c>
      <c r="H77" s="35">
        <f t="shared" si="5"/>
        <v>0</v>
      </c>
      <c r="I77" s="3">
        <v>74</v>
      </c>
      <c r="J77" s="35">
        <f t="shared" si="6"/>
        <v>221.05605323503966</v>
      </c>
      <c r="K77" s="35">
        <f t="shared" si="7"/>
        <v>1.017841387771304</v>
      </c>
      <c r="L77" s="48">
        <f t="shared" si="8"/>
        <v>221.91301232007856</v>
      </c>
    </row>
    <row r="78" spans="2:12" x14ac:dyDescent="0.3">
      <c r="B78" s="9">
        <v>42413</v>
      </c>
      <c r="C78" s="3" t="s">
        <v>8</v>
      </c>
      <c r="D78" s="3" t="s">
        <v>11</v>
      </c>
      <c r="E78" s="3" t="s">
        <v>12</v>
      </c>
      <c r="F78" s="5" t="s">
        <v>13</v>
      </c>
      <c r="G78" s="25">
        <v>252</v>
      </c>
      <c r="H78" s="35">
        <f t="shared" si="5"/>
        <v>0</v>
      </c>
      <c r="I78" s="3">
        <v>75</v>
      </c>
      <c r="J78" s="35">
        <f t="shared" si="6"/>
        <v>221.89379860492318</v>
      </c>
      <c r="K78" s="35">
        <f t="shared" si="7"/>
        <v>1.1356784262758068</v>
      </c>
      <c r="L78" s="48">
        <f t="shared" si="8"/>
        <v>244.16237392624595</v>
      </c>
    </row>
    <row r="79" spans="2:12" x14ac:dyDescent="0.3">
      <c r="B79" s="9">
        <v>42414</v>
      </c>
      <c r="C79" s="3" t="s">
        <v>9</v>
      </c>
      <c r="D79" s="3" t="s">
        <v>11</v>
      </c>
      <c r="E79" s="3" t="s">
        <v>12</v>
      </c>
      <c r="F79" s="5" t="s">
        <v>30</v>
      </c>
      <c r="G79" s="25">
        <v>299</v>
      </c>
      <c r="H79" s="35">
        <f t="shared" si="5"/>
        <v>1</v>
      </c>
      <c r="I79" s="3">
        <v>76</v>
      </c>
      <c r="J79" s="35">
        <f t="shared" si="6"/>
        <v>249.90365572116173</v>
      </c>
      <c r="K79" s="35">
        <f t="shared" si="7"/>
        <v>1.1964610887230043</v>
      </c>
      <c r="L79" s="48">
        <f t="shared" si="8"/>
        <v>292.29645929600741</v>
      </c>
    </row>
    <row r="80" spans="2:12" x14ac:dyDescent="0.3">
      <c r="B80" s="9">
        <v>42415</v>
      </c>
      <c r="C80" s="3" t="s">
        <v>10</v>
      </c>
      <c r="D80" s="3" t="s">
        <v>11</v>
      </c>
      <c r="E80" s="3" t="s">
        <v>15</v>
      </c>
      <c r="F80" s="5" t="s">
        <v>30</v>
      </c>
      <c r="G80" s="25">
        <v>234</v>
      </c>
      <c r="H80" s="35">
        <f t="shared" si="5"/>
        <v>1</v>
      </c>
      <c r="I80" s="3">
        <v>77</v>
      </c>
      <c r="J80" s="35">
        <f t="shared" si="6"/>
        <v>250.74140109104528</v>
      </c>
      <c r="K80" s="35">
        <f t="shared" si="7"/>
        <v>0.93323240191608248</v>
      </c>
      <c r="L80" s="48">
        <f t="shared" si="8"/>
        <v>240.60777200305679</v>
      </c>
    </row>
    <row r="81" spans="2:12" x14ac:dyDescent="0.3">
      <c r="B81" s="9">
        <v>42416</v>
      </c>
      <c r="C81" s="3" t="s">
        <v>4</v>
      </c>
      <c r="D81" s="3" t="s">
        <v>11</v>
      </c>
      <c r="E81" s="3" t="s">
        <v>29</v>
      </c>
      <c r="F81" s="5" t="s">
        <v>13</v>
      </c>
      <c r="G81" s="25">
        <v>205</v>
      </c>
      <c r="H81" s="35">
        <f t="shared" si="5"/>
        <v>0</v>
      </c>
      <c r="I81" s="3">
        <v>78</v>
      </c>
      <c r="J81" s="35">
        <f t="shared" si="6"/>
        <v>224.4070347145738</v>
      </c>
      <c r="K81" s="35">
        <f t="shared" si="7"/>
        <v>0.91351859918626055</v>
      </c>
      <c r="L81" s="48">
        <f t="shared" si="8"/>
        <v>196.9423818847967</v>
      </c>
    </row>
    <row r="82" spans="2:12" x14ac:dyDescent="0.3">
      <c r="B82" s="9">
        <v>42417</v>
      </c>
      <c r="C82" s="3" t="s">
        <v>5</v>
      </c>
      <c r="D82" s="3" t="s">
        <v>11</v>
      </c>
      <c r="E82" s="3" t="s">
        <v>15</v>
      </c>
      <c r="F82" s="5" t="s">
        <v>13</v>
      </c>
      <c r="G82" s="25">
        <v>219</v>
      </c>
      <c r="H82" s="35">
        <f t="shared" si="5"/>
        <v>0</v>
      </c>
      <c r="I82" s="3">
        <v>79</v>
      </c>
      <c r="J82" s="35">
        <f t="shared" si="6"/>
        <v>225.24478008445732</v>
      </c>
      <c r="K82" s="35">
        <f t="shared" si="7"/>
        <v>0.97227558355795951</v>
      </c>
      <c r="L82" s="48">
        <f t="shared" si="8"/>
        <v>212.86304968197041</v>
      </c>
    </row>
    <row r="83" spans="2:12" x14ac:dyDescent="0.3">
      <c r="B83" s="9">
        <v>42418</v>
      </c>
      <c r="C83" s="3" t="s">
        <v>6</v>
      </c>
      <c r="D83" s="3" t="s">
        <v>11</v>
      </c>
      <c r="E83" s="3" t="s">
        <v>12</v>
      </c>
      <c r="F83" s="5" t="s">
        <v>13</v>
      </c>
      <c r="G83" s="25">
        <v>221</v>
      </c>
      <c r="H83" s="35">
        <f t="shared" si="5"/>
        <v>0</v>
      </c>
      <c r="I83" s="3">
        <v>80</v>
      </c>
      <c r="J83" s="35">
        <f t="shared" si="6"/>
        <v>226.08252545434084</v>
      </c>
      <c r="K83" s="35">
        <f t="shared" si="7"/>
        <v>0.97751915835101866</v>
      </c>
      <c r="L83" s="48">
        <f t="shared" si="8"/>
        <v>213.29458052102942</v>
      </c>
    </row>
    <row r="84" spans="2:12" x14ac:dyDescent="0.3">
      <c r="B84" s="9">
        <v>42419</v>
      </c>
      <c r="C84" s="3" t="s">
        <v>7</v>
      </c>
      <c r="D84" s="3" t="s">
        <v>11</v>
      </c>
      <c r="E84" s="3" t="s">
        <v>12</v>
      </c>
      <c r="F84" s="5" t="s">
        <v>13</v>
      </c>
      <c r="G84" s="25">
        <v>231</v>
      </c>
      <c r="H84" s="35">
        <f t="shared" si="5"/>
        <v>0</v>
      </c>
      <c r="I84" s="3">
        <v>81</v>
      </c>
      <c r="J84" s="35">
        <f t="shared" si="6"/>
        <v>226.92027082422439</v>
      </c>
      <c r="K84" s="35">
        <f t="shared" si="7"/>
        <v>1.0179786898762158</v>
      </c>
      <c r="L84" s="48">
        <f t="shared" si="8"/>
        <v>227.79996348505168</v>
      </c>
    </row>
    <row r="85" spans="2:12" x14ac:dyDescent="0.3">
      <c r="B85" s="9">
        <v>42420</v>
      </c>
      <c r="C85" s="3" t="s">
        <v>8</v>
      </c>
      <c r="D85" s="3" t="s">
        <v>14</v>
      </c>
      <c r="E85" s="3" t="s">
        <v>12</v>
      </c>
      <c r="F85" s="5" t="s">
        <v>13</v>
      </c>
      <c r="G85" s="25">
        <v>262</v>
      </c>
      <c r="H85" s="35">
        <f t="shared" si="5"/>
        <v>0</v>
      </c>
      <c r="I85" s="3">
        <v>82</v>
      </c>
      <c r="J85" s="35">
        <f t="shared" si="6"/>
        <v>227.75801619410794</v>
      </c>
      <c r="K85" s="35">
        <f t="shared" si="7"/>
        <v>1.1503437041562092</v>
      </c>
      <c r="L85" s="48">
        <f t="shared" si="8"/>
        <v>250.61510625494307</v>
      </c>
    </row>
    <row r="86" spans="2:12" x14ac:dyDescent="0.3">
      <c r="B86" s="9">
        <v>42421</v>
      </c>
      <c r="C86" s="3" t="s">
        <v>9</v>
      </c>
      <c r="D86" s="3" t="s">
        <v>14</v>
      </c>
      <c r="E86" s="3" t="s">
        <v>15</v>
      </c>
      <c r="F86" s="5" t="s">
        <v>13</v>
      </c>
      <c r="G86" s="25">
        <v>286</v>
      </c>
      <c r="H86" s="35">
        <f t="shared" si="5"/>
        <v>0</v>
      </c>
      <c r="I86" s="3">
        <v>83</v>
      </c>
      <c r="J86" s="35">
        <f t="shared" si="6"/>
        <v>228.59576156399146</v>
      </c>
      <c r="K86" s="35">
        <f t="shared" si="7"/>
        <v>1.2511168100548495</v>
      </c>
      <c r="L86" s="48">
        <f t="shared" si="8"/>
        <v>267.37396666891158</v>
      </c>
    </row>
    <row r="87" spans="2:12" x14ac:dyDescent="0.3">
      <c r="B87" s="9">
        <v>42422</v>
      </c>
      <c r="C87" s="3" t="s">
        <v>10</v>
      </c>
      <c r="D87" s="3" t="s">
        <v>14</v>
      </c>
      <c r="E87" s="3" t="s">
        <v>12</v>
      </c>
      <c r="F87" s="5" t="s">
        <v>13</v>
      </c>
      <c r="G87" s="25">
        <v>231</v>
      </c>
      <c r="H87" s="35">
        <f t="shared" si="5"/>
        <v>0</v>
      </c>
      <c r="I87" s="3">
        <v>84</v>
      </c>
      <c r="J87" s="35">
        <f t="shared" si="6"/>
        <v>229.43350693387498</v>
      </c>
      <c r="K87" s="35">
        <f t="shared" si="7"/>
        <v>1.0068276560257456</v>
      </c>
      <c r="L87" s="48">
        <f t="shared" si="8"/>
        <v>220.16102919582443</v>
      </c>
    </row>
    <row r="88" spans="2:12" x14ac:dyDescent="0.3">
      <c r="B88" s="9">
        <v>42423</v>
      </c>
      <c r="C88" s="3" t="s">
        <v>4</v>
      </c>
      <c r="D88" s="3" t="s">
        <v>11</v>
      </c>
      <c r="E88" s="3" t="s">
        <v>15</v>
      </c>
      <c r="F88" s="5" t="s">
        <v>13</v>
      </c>
      <c r="G88" s="25">
        <v>206</v>
      </c>
      <c r="H88" s="35">
        <f t="shared" si="5"/>
        <v>0</v>
      </c>
      <c r="I88" s="3">
        <v>85</v>
      </c>
      <c r="J88" s="35">
        <f t="shared" si="6"/>
        <v>230.27125230375853</v>
      </c>
      <c r="K88" s="35">
        <f t="shared" si="7"/>
        <v>0.89459712377930045</v>
      </c>
      <c r="L88" s="48">
        <f t="shared" si="8"/>
        <v>202.08889158033145</v>
      </c>
    </row>
    <row r="89" spans="2:12" x14ac:dyDescent="0.3">
      <c r="B89" s="9">
        <v>42424</v>
      </c>
      <c r="C89" s="3" t="s">
        <v>5</v>
      </c>
      <c r="D89" s="3" t="s">
        <v>11</v>
      </c>
      <c r="E89" s="3" t="s">
        <v>29</v>
      </c>
      <c r="F89" s="5" t="s">
        <v>13</v>
      </c>
      <c r="G89" s="25">
        <v>227</v>
      </c>
      <c r="H89" s="35">
        <f t="shared" si="5"/>
        <v>0</v>
      </c>
      <c r="I89" s="3">
        <v>86</v>
      </c>
      <c r="J89" s="35">
        <f t="shared" si="6"/>
        <v>231.10899767364208</v>
      </c>
      <c r="K89" s="35">
        <f t="shared" si="7"/>
        <v>0.98222052055522069</v>
      </c>
      <c r="L89" s="48">
        <f t="shared" si="8"/>
        <v>218.40491058353925</v>
      </c>
    </row>
    <row r="90" spans="2:12" x14ac:dyDescent="0.3">
      <c r="B90" s="9">
        <v>42425</v>
      </c>
      <c r="C90" s="3" t="s">
        <v>6</v>
      </c>
      <c r="D90" s="3" t="s">
        <v>14</v>
      </c>
      <c r="E90" s="3" t="s">
        <v>15</v>
      </c>
      <c r="F90" s="5" t="s">
        <v>13</v>
      </c>
      <c r="G90" s="25">
        <v>236</v>
      </c>
      <c r="H90" s="35">
        <f t="shared" si="5"/>
        <v>0</v>
      </c>
      <c r="I90" s="3">
        <v>87</v>
      </c>
      <c r="J90" s="35">
        <f t="shared" si="6"/>
        <v>231.9467430435256</v>
      </c>
      <c r="K90" s="35">
        <f t="shared" si="7"/>
        <v>1.0174749466333908</v>
      </c>
      <c r="L90" s="48">
        <f t="shared" si="8"/>
        <v>218.82709935792562</v>
      </c>
    </row>
    <row r="91" spans="2:12" x14ac:dyDescent="0.3">
      <c r="B91" s="9">
        <v>42426</v>
      </c>
      <c r="C91" s="3" t="s">
        <v>7</v>
      </c>
      <c r="D91" s="3" t="s">
        <v>11</v>
      </c>
      <c r="E91" s="3" t="s">
        <v>12</v>
      </c>
      <c r="F91" s="5" t="s">
        <v>13</v>
      </c>
      <c r="G91" s="25">
        <v>238</v>
      </c>
      <c r="H91" s="35">
        <f t="shared" si="5"/>
        <v>0</v>
      </c>
      <c r="I91" s="3">
        <v>88</v>
      </c>
      <c r="J91" s="35">
        <f t="shared" si="6"/>
        <v>232.78448841340912</v>
      </c>
      <c r="K91" s="35">
        <f t="shared" si="7"/>
        <v>1.0224048931358711</v>
      </c>
      <c r="L91" s="48">
        <f t="shared" si="8"/>
        <v>233.68691465002479</v>
      </c>
    </row>
    <row r="92" spans="2:12" x14ac:dyDescent="0.3">
      <c r="B92" s="9">
        <v>42427</v>
      </c>
      <c r="C92" s="3" t="s">
        <v>8</v>
      </c>
      <c r="D92" s="3" t="s">
        <v>11</v>
      </c>
      <c r="E92" s="3" t="s">
        <v>15</v>
      </c>
      <c r="F92" s="5" t="s">
        <v>13</v>
      </c>
      <c r="G92" s="25">
        <v>272</v>
      </c>
      <c r="H92" s="35">
        <f t="shared" si="5"/>
        <v>0</v>
      </c>
      <c r="I92" s="3">
        <v>89</v>
      </c>
      <c r="J92" s="35">
        <f t="shared" si="6"/>
        <v>233.62223378329267</v>
      </c>
      <c r="K92" s="35">
        <f t="shared" si="7"/>
        <v>1.1642727474830432</v>
      </c>
      <c r="L92" s="48">
        <f t="shared" si="8"/>
        <v>257.0678385836402</v>
      </c>
    </row>
    <row r="93" spans="2:12" x14ac:dyDescent="0.3">
      <c r="B93" s="9">
        <v>42428</v>
      </c>
      <c r="C93" s="3" t="s">
        <v>9</v>
      </c>
      <c r="D93" s="3" t="s">
        <v>11</v>
      </c>
      <c r="E93" s="3" t="s">
        <v>15</v>
      </c>
      <c r="F93" s="5" t="s">
        <v>13</v>
      </c>
      <c r="G93" s="25">
        <v>293</v>
      </c>
      <c r="H93" s="35">
        <f t="shared" si="5"/>
        <v>0</v>
      </c>
      <c r="I93" s="3">
        <v>90</v>
      </c>
      <c r="J93" s="35">
        <f t="shared" si="6"/>
        <v>234.45997915317619</v>
      </c>
      <c r="K93" s="35">
        <f t="shared" si="7"/>
        <v>1.24968022712558</v>
      </c>
      <c r="L93" s="48">
        <f t="shared" si="8"/>
        <v>274.23297012331727</v>
      </c>
    </row>
    <row r="94" spans="2:12" x14ac:dyDescent="0.3">
      <c r="B94" s="9">
        <v>42429</v>
      </c>
      <c r="C94" s="3" t="s">
        <v>10</v>
      </c>
      <c r="D94" s="3" t="s">
        <v>14</v>
      </c>
      <c r="E94" s="3" t="s">
        <v>15</v>
      </c>
      <c r="F94" s="5" t="s">
        <v>13</v>
      </c>
      <c r="G94" s="25">
        <v>232</v>
      </c>
      <c r="H94" s="35">
        <f t="shared" si="5"/>
        <v>0</v>
      </c>
      <c r="I94" s="3">
        <v>91</v>
      </c>
      <c r="J94" s="35">
        <f t="shared" si="6"/>
        <v>235.29772452305974</v>
      </c>
      <c r="K94" s="35">
        <f t="shared" si="7"/>
        <v>0.98598488561780984</v>
      </c>
      <c r="L94" s="48">
        <f t="shared" si="8"/>
        <v>225.78824641059364</v>
      </c>
    </row>
    <row r="95" spans="2:12" x14ac:dyDescent="0.3">
      <c r="B95" s="9">
        <v>42430</v>
      </c>
      <c r="C95" s="3" t="s">
        <v>4</v>
      </c>
      <c r="D95" s="3" t="s">
        <v>11</v>
      </c>
      <c r="E95" s="3" t="s">
        <v>12</v>
      </c>
      <c r="F95" s="5" t="s">
        <v>13</v>
      </c>
      <c r="G95" s="25">
        <v>204</v>
      </c>
      <c r="H95" s="35">
        <f t="shared" si="5"/>
        <v>0</v>
      </c>
      <c r="I95" s="3">
        <v>92</v>
      </c>
      <c r="J95" s="35">
        <f t="shared" si="6"/>
        <v>236.13546989294326</v>
      </c>
      <c r="K95" s="35">
        <f t="shared" si="7"/>
        <v>0.863910873247833</v>
      </c>
      <c r="L95" s="48">
        <f t="shared" si="8"/>
        <v>207.23540127586622</v>
      </c>
    </row>
    <row r="96" spans="2:12" x14ac:dyDescent="0.3">
      <c r="B96" s="9">
        <v>42431</v>
      </c>
      <c r="C96" s="3" t="s">
        <v>5</v>
      </c>
      <c r="D96" s="3" t="s">
        <v>14</v>
      </c>
      <c r="E96" s="3" t="s">
        <v>15</v>
      </c>
      <c r="F96" s="5" t="s">
        <v>13</v>
      </c>
      <c r="G96" s="25">
        <v>224</v>
      </c>
      <c r="H96" s="35">
        <f t="shared" si="5"/>
        <v>0</v>
      </c>
      <c r="I96" s="3">
        <v>93</v>
      </c>
      <c r="J96" s="35">
        <f t="shared" si="6"/>
        <v>236.97321526282678</v>
      </c>
      <c r="K96" s="35">
        <f t="shared" si="7"/>
        <v>0.94525450798969746</v>
      </c>
      <c r="L96" s="48">
        <f t="shared" si="8"/>
        <v>223.946771485108</v>
      </c>
    </row>
    <row r="97" spans="2:12" x14ac:dyDescent="0.3">
      <c r="B97" s="9">
        <v>42432</v>
      </c>
      <c r="C97" s="3" t="s">
        <v>6</v>
      </c>
      <c r="D97" s="3" t="s">
        <v>11</v>
      </c>
      <c r="E97" s="3" t="s">
        <v>15</v>
      </c>
      <c r="F97" s="5" t="s">
        <v>13</v>
      </c>
      <c r="G97" s="25">
        <v>90</v>
      </c>
      <c r="H97" s="35">
        <f t="shared" si="5"/>
        <v>0</v>
      </c>
      <c r="I97" s="3">
        <v>94</v>
      </c>
      <c r="J97" s="35">
        <f t="shared" si="6"/>
        <v>237.81096063271033</v>
      </c>
      <c r="K97" s="35">
        <f t="shared" si="7"/>
        <v>0.37845185840278178</v>
      </c>
      <c r="L97" s="48">
        <f t="shared" si="8"/>
        <v>224.35961819482179</v>
      </c>
    </row>
    <row r="98" spans="2:12" x14ac:dyDescent="0.3">
      <c r="B98" s="9">
        <v>42433</v>
      </c>
      <c r="C98" s="3" t="s">
        <v>7</v>
      </c>
      <c r="D98" s="3" t="s">
        <v>11</v>
      </c>
      <c r="E98" s="3" t="s">
        <v>16</v>
      </c>
      <c r="F98" s="5" t="s">
        <v>13</v>
      </c>
      <c r="G98" s="25">
        <v>231</v>
      </c>
      <c r="H98" s="35">
        <f t="shared" si="5"/>
        <v>0</v>
      </c>
      <c r="I98" s="3">
        <v>95</v>
      </c>
      <c r="J98" s="35">
        <f t="shared" si="6"/>
        <v>238.64870600259388</v>
      </c>
      <c r="K98" s="35">
        <f t="shared" si="7"/>
        <v>0.96794993724998135</v>
      </c>
      <c r="L98" s="48">
        <f t="shared" si="8"/>
        <v>239.5738658149979</v>
      </c>
    </row>
    <row r="99" spans="2:12" x14ac:dyDescent="0.3">
      <c r="B99" s="9">
        <v>42434</v>
      </c>
      <c r="C99" s="3" t="s">
        <v>8</v>
      </c>
      <c r="D99" s="3" t="s">
        <v>11</v>
      </c>
      <c r="E99" s="3" t="s">
        <v>12</v>
      </c>
      <c r="F99" s="5" t="s">
        <v>13</v>
      </c>
      <c r="G99" s="25">
        <v>105</v>
      </c>
      <c r="H99" s="35">
        <f t="shared" si="5"/>
        <v>0</v>
      </c>
      <c r="I99" s="3">
        <v>96</v>
      </c>
      <c r="J99" s="35">
        <f t="shared" si="6"/>
        <v>239.4864513724774</v>
      </c>
      <c r="K99" s="35">
        <f t="shared" si="7"/>
        <v>0.438438163822018</v>
      </c>
      <c r="L99" s="48">
        <f t="shared" si="8"/>
        <v>263.52057091233729</v>
      </c>
    </row>
    <row r="100" spans="2:12" x14ac:dyDescent="0.3">
      <c r="B100" s="9">
        <v>42435</v>
      </c>
      <c r="C100" s="3" t="s">
        <v>9</v>
      </c>
      <c r="D100" s="3" t="s">
        <v>11</v>
      </c>
      <c r="E100" s="3" t="s">
        <v>12</v>
      </c>
      <c r="F100" s="5" t="s">
        <v>13</v>
      </c>
      <c r="G100" s="25">
        <v>112</v>
      </c>
      <c r="H100" s="35">
        <f t="shared" ref="H100:H138" si="9">IF(F100="Yes",1,0)</f>
        <v>0</v>
      </c>
      <c r="I100" s="3">
        <v>97</v>
      </c>
      <c r="J100" s="35">
        <f t="shared" si="6"/>
        <v>240.32419674236093</v>
      </c>
      <c r="K100" s="35">
        <f t="shared" si="7"/>
        <v>0.4660371344965708</v>
      </c>
      <c r="L100" s="48">
        <f t="shared" si="8"/>
        <v>281.09197357772302</v>
      </c>
    </row>
    <row r="101" spans="2:12" x14ac:dyDescent="0.3">
      <c r="B101" s="9">
        <v>42436</v>
      </c>
      <c r="C101" s="3" t="s">
        <v>10</v>
      </c>
      <c r="D101" s="3" t="s">
        <v>14</v>
      </c>
      <c r="E101" s="3" t="s">
        <v>15</v>
      </c>
      <c r="F101" s="5" t="s">
        <v>13</v>
      </c>
      <c r="G101" s="25">
        <v>165</v>
      </c>
      <c r="H101" s="35">
        <f t="shared" si="9"/>
        <v>0</v>
      </c>
      <c r="I101" s="3">
        <v>98</v>
      </c>
      <c r="J101" s="35">
        <f t="shared" si="6"/>
        <v>241.16194211224447</v>
      </c>
      <c r="K101" s="35">
        <f t="shared" si="7"/>
        <v>0.68418755693717104</v>
      </c>
      <c r="L101" s="48">
        <f t="shared" si="8"/>
        <v>231.41546362536283</v>
      </c>
    </row>
    <row r="102" spans="2:12" x14ac:dyDescent="0.3">
      <c r="B102" s="9">
        <v>42437</v>
      </c>
      <c r="C102" s="3" t="s">
        <v>4</v>
      </c>
      <c r="D102" s="3" t="s">
        <v>26</v>
      </c>
      <c r="E102" s="3" t="s">
        <v>15</v>
      </c>
      <c r="F102" s="5" t="s">
        <v>13</v>
      </c>
      <c r="G102" s="25">
        <v>98</v>
      </c>
      <c r="H102" s="35">
        <f t="shared" si="9"/>
        <v>0</v>
      </c>
      <c r="I102" s="3">
        <v>99</v>
      </c>
      <c r="J102" s="35">
        <f t="shared" si="6"/>
        <v>241.99968748212802</v>
      </c>
      <c r="K102" s="35">
        <f t="shared" si="7"/>
        <v>0.40495920064870916</v>
      </c>
      <c r="L102" s="48">
        <f t="shared" si="8"/>
        <v>212.38191097140103</v>
      </c>
    </row>
    <row r="103" spans="2:12" x14ac:dyDescent="0.3">
      <c r="B103" s="9">
        <v>42438</v>
      </c>
      <c r="C103" s="3" t="s">
        <v>5</v>
      </c>
      <c r="D103" s="3" t="s">
        <v>26</v>
      </c>
      <c r="E103" s="3" t="s">
        <v>12</v>
      </c>
      <c r="F103" s="5" t="s">
        <v>13</v>
      </c>
      <c r="G103" s="25">
        <v>117</v>
      </c>
      <c r="H103" s="35">
        <f t="shared" si="9"/>
        <v>0</v>
      </c>
      <c r="I103" s="3">
        <v>100</v>
      </c>
      <c r="J103" s="35">
        <f t="shared" si="6"/>
        <v>242.83743285201155</v>
      </c>
      <c r="K103" s="35">
        <f t="shared" si="7"/>
        <v>0.48180380852280463</v>
      </c>
      <c r="L103" s="48">
        <f t="shared" si="8"/>
        <v>229.48863238667681</v>
      </c>
    </row>
    <row r="104" spans="2:12" x14ac:dyDescent="0.3">
      <c r="B104" s="9">
        <v>42439</v>
      </c>
      <c r="C104" s="3" t="s">
        <v>6</v>
      </c>
      <c r="D104" s="3" t="s">
        <v>31</v>
      </c>
      <c r="E104" s="3" t="s">
        <v>15</v>
      </c>
      <c r="F104" s="5" t="s">
        <v>13</v>
      </c>
      <c r="G104" s="25">
        <v>240</v>
      </c>
      <c r="H104" s="35">
        <f t="shared" si="9"/>
        <v>0</v>
      </c>
      <c r="I104" s="3">
        <v>101</v>
      </c>
      <c r="J104" s="35">
        <f t="shared" si="6"/>
        <v>243.67517822189507</v>
      </c>
      <c r="K104" s="35">
        <f t="shared" si="7"/>
        <v>0.98491771608124823</v>
      </c>
      <c r="L104" s="48">
        <f t="shared" si="8"/>
        <v>229.89213703171797</v>
      </c>
    </row>
    <row r="105" spans="2:12" x14ac:dyDescent="0.3">
      <c r="B105" s="9">
        <v>42440</v>
      </c>
      <c r="C105" s="3" t="s">
        <v>7</v>
      </c>
      <c r="D105" s="3" t="s">
        <v>14</v>
      </c>
      <c r="E105" s="3" t="s">
        <v>15</v>
      </c>
      <c r="F105" s="5" t="s">
        <v>13</v>
      </c>
      <c r="G105" s="25">
        <v>251</v>
      </c>
      <c r="H105" s="35">
        <f t="shared" si="9"/>
        <v>0</v>
      </c>
      <c r="I105" s="3">
        <v>102</v>
      </c>
      <c r="J105" s="35">
        <f t="shared" si="6"/>
        <v>244.51292359177862</v>
      </c>
      <c r="K105" s="35">
        <f t="shared" si="7"/>
        <v>1.0265306075152565</v>
      </c>
      <c r="L105" s="48">
        <f t="shared" si="8"/>
        <v>245.46081697997101</v>
      </c>
    </row>
    <row r="106" spans="2:12" x14ac:dyDescent="0.3">
      <c r="B106" s="9">
        <v>42441</v>
      </c>
      <c r="C106" s="3" t="s">
        <v>8</v>
      </c>
      <c r="D106" s="3" t="s">
        <v>26</v>
      </c>
      <c r="E106" s="3" t="s">
        <v>15</v>
      </c>
      <c r="F106" s="5" t="s">
        <v>13</v>
      </c>
      <c r="G106" s="25">
        <v>290</v>
      </c>
      <c r="H106" s="35">
        <f t="shared" si="9"/>
        <v>0</v>
      </c>
      <c r="I106" s="3">
        <v>103</v>
      </c>
      <c r="J106" s="35">
        <f t="shared" si="6"/>
        <v>245.35066896166217</v>
      </c>
      <c r="K106" s="35">
        <f t="shared" si="7"/>
        <v>1.1819816967579355</v>
      </c>
      <c r="L106" s="48">
        <f t="shared" si="8"/>
        <v>269.97330324103439</v>
      </c>
    </row>
    <row r="107" spans="2:12" x14ac:dyDescent="0.3">
      <c r="B107" s="9">
        <v>42442</v>
      </c>
      <c r="C107" s="3" t="s">
        <v>9</v>
      </c>
      <c r="D107" s="3" t="s">
        <v>26</v>
      </c>
      <c r="E107" s="3" t="s">
        <v>12</v>
      </c>
      <c r="F107" s="5" t="s">
        <v>13</v>
      </c>
      <c r="G107" s="25">
        <v>310</v>
      </c>
      <c r="H107" s="35">
        <f t="shared" si="9"/>
        <v>0</v>
      </c>
      <c r="I107" s="3">
        <v>104</v>
      </c>
      <c r="J107" s="35">
        <f t="shared" si="6"/>
        <v>246.18841433154569</v>
      </c>
      <c r="K107" s="35">
        <f t="shared" si="7"/>
        <v>1.2591981667444281</v>
      </c>
      <c r="L107" s="48">
        <f t="shared" si="8"/>
        <v>287.95097703212878</v>
      </c>
    </row>
    <row r="108" spans="2:12" x14ac:dyDescent="0.3">
      <c r="B108" s="9">
        <v>42443</v>
      </c>
      <c r="C108" s="3" t="s">
        <v>10</v>
      </c>
      <c r="D108" s="3" t="s">
        <v>11</v>
      </c>
      <c r="E108" s="3" t="s">
        <v>16</v>
      </c>
      <c r="F108" s="5" t="s">
        <v>13</v>
      </c>
      <c r="G108" s="25">
        <v>252</v>
      </c>
      <c r="H108" s="35">
        <f t="shared" si="9"/>
        <v>0</v>
      </c>
      <c r="I108" s="3">
        <v>105</v>
      </c>
      <c r="J108" s="35">
        <f t="shared" si="6"/>
        <v>247.02615970142921</v>
      </c>
      <c r="K108" s="35">
        <f t="shared" si="7"/>
        <v>1.0201348727785853</v>
      </c>
      <c r="L108" s="48">
        <f t="shared" si="8"/>
        <v>237.04268084013199</v>
      </c>
    </row>
    <row r="109" spans="2:12" x14ac:dyDescent="0.3">
      <c r="B109" s="9">
        <v>42444</v>
      </c>
      <c r="C109" s="3" t="s">
        <v>4</v>
      </c>
      <c r="D109" s="3" t="s">
        <v>14</v>
      </c>
      <c r="E109" s="3" t="s">
        <v>16</v>
      </c>
      <c r="F109" s="5" t="s">
        <v>13</v>
      </c>
      <c r="G109" s="25">
        <v>225</v>
      </c>
      <c r="H109" s="35">
        <f t="shared" si="9"/>
        <v>0</v>
      </c>
      <c r="I109" s="3">
        <v>106</v>
      </c>
      <c r="J109" s="35">
        <f t="shared" si="6"/>
        <v>247.86390507131276</v>
      </c>
      <c r="K109" s="35">
        <f t="shared" si="7"/>
        <v>0.90775621377895022</v>
      </c>
      <c r="L109" s="48">
        <f t="shared" si="8"/>
        <v>217.5284206669358</v>
      </c>
    </row>
    <row r="110" spans="2:12" x14ac:dyDescent="0.3">
      <c r="B110" s="9">
        <v>42445</v>
      </c>
      <c r="C110" s="3" t="s">
        <v>5</v>
      </c>
      <c r="D110" s="3" t="s">
        <v>14</v>
      </c>
      <c r="E110" s="3" t="s">
        <v>15</v>
      </c>
      <c r="F110" s="5" t="s">
        <v>13</v>
      </c>
      <c r="G110" s="25">
        <v>246</v>
      </c>
      <c r="H110" s="35">
        <f t="shared" si="9"/>
        <v>0</v>
      </c>
      <c r="I110" s="3">
        <v>107</v>
      </c>
      <c r="J110" s="35">
        <f t="shared" si="6"/>
        <v>248.70165044119631</v>
      </c>
      <c r="K110" s="35">
        <f t="shared" si="7"/>
        <v>0.98913698225804458</v>
      </c>
      <c r="L110" s="48">
        <f t="shared" si="8"/>
        <v>235.03049328824565</v>
      </c>
    </row>
    <row r="111" spans="2:12" x14ac:dyDescent="0.3">
      <c r="B111" s="9">
        <v>42446</v>
      </c>
      <c r="C111" s="3" t="s">
        <v>6</v>
      </c>
      <c r="D111" s="3" t="s">
        <v>14</v>
      </c>
      <c r="E111" s="3" t="s">
        <v>29</v>
      </c>
      <c r="F111" s="5" t="s">
        <v>30</v>
      </c>
      <c r="G111" s="25">
        <v>266</v>
      </c>
      <c r="H111" s="35">
        <f t="shared" si="9"/>
        <v>1</v>
      </c>
      <c r="I111" s="3">
        <v>108</v>
      </c>
      <c r="J111" s="35">
        <f t="shared" si="6"/>
        <v>276.71150755743486</v>
      </c>
      <c r="K111" s="35">
        <f t="shared" si="7"/>
        <v>0.96128998156966217</v>
      </c>
      <c r="L111" s="48">
        <f t="shared" si="8"/>
        <v>261.05982676544585</v>
      </c>
    </row>
    <row r="112" spans="2:12" x14ac:dyDescent="0.3">
      <c r="B112" s="9">
        <v>42447</v>
      </c>
      <c r="C112" s="3" t="s">
        <v>7</v>
      </c>
      <c r="D112" s="3" t="s">
        <v>14</v>
      </c>
      <c r="E112" s="3" t="s">
        <v>15</v>
      </c>
      <c r="F112" s="5" t="s">
        <v>13</v>
      </c>
      <c r="G112" s="25">
        <v>264</v>
      </c>
      <c r="H112" s="35">
        <f t="shared" si="9"/>
        <v>0</v>
      </c>
      <c r="I112" s="3">
        <v>109</v>
      </c>
      <c r="J112" s="35">
        <f t="shared" si="6"/>
        <v>250.37714118096335</v>
      </c>
      <c r="K112" s="35">
        <f t="shared" si="7"/>
        <v>1.0544093552421807</v>
      </c>
      <c r="L112" s="48">
        <f t="shared" si="8"/>
        <v>251.34776814494413</v>
      </c>
    </row>
    <row r="113" spans="2:12" x14ac:dyDescent="0.3">
      <c r="B113" s="9">
        <v>42448</v>
      </c>
      <c r="C113" s="3" t="s">
        <v>8</v>
      </c>
      <c r="D113" s="3" t="s">
        <v>11</v>
      </c>
      <c r="E113" s="3" t="s">
        <v>12</v>
      </c>
      <c r="F113" s="5" t="s">
        <v>13</v>
      </c>
      <c r="G113" s="25">
        <v>293</v>
      </c>
      <c r="H113" s="35">
        <f t="shared" si="9"/>
        <v>0</v>
      </c>
      <c r="I113" s="3">
        <v>110</v>
      </c>
      <c r="J113" s="35">
        <f t="shared" si="6"/>
        <v>251.2148865508469</v>
      </c>
      <c r="K113" s="35">
        <f t="shared" si="7"/>
        <v>1.1663321550042602</v>
      </c>
      <c r="L113" s="48">
        <f t="shared" si="8"/>
        <v>276.42603556973148</v>
      </c>
    </row>
    <row r="114" spans="2:12" x14ac:dyDescent="0.3">
      <c r="B114" s="9">
        <v>42449</v>
      </c>
      <c r="C114" s="3" t="s">
        <v>9</v>
      </c>
      <c r="D114" s="3" t="s">
        <v>11</v>
      </c>
      <c r="E114" s="3" t="s">
        <v>12</v>
      </c>
      <c r="F114" s="5" t="s">
        <v>13</v>
      </c>
      <c r="G114" s="25">
        <v>317</v>
      </c>
      <c r="H114" s="35">
        <f t="shared" si="9"/>
        <v>0</v>
      </c>
      <c r="I114" s="3">
        <v>111</v>
      </c>
      <c r="J114" s="35">
        <f t="shared" si="6"/>
        <v>252.05263192073045</v>
      </c>
      <c r="K114" s="35">
        <f t="shared" si="7"/>
        <v>1.2576738341684734</v>
      </c>
      <c r="L114" s="48">
        <f t="shared" si="8"/>
        <v>294.80998048653453</v>
      </c>
    </row>
    <row r="115" spans="2:12" x14ac:dyDescent="0.3">
      <c r="B115" s="9">
        <v>42450</v>
      </c>
      <c r="C115" s="3" t="s">
        <v>10</v>
      </c>
      <c r="D115" s="3" t="s">
        <v>11</v>
      </c>
      <c r="E115" s="3" t="s">
        <v>16</v>
      </c>
      <c r="F115" s="5" t="s">
        <v>13</v>
      </c>
      <c r="G115" s="25">
        <v>255</v>
      </c>
      <c r="H115" s="35">
        <f t="shared" si="9"/>
        <v>0</v>
      </c>
      <c r="I115" s="3">
        <v>112</v>
      </c>
      <c r="J115" s="35">
        <f t="shared" si="6"/>
        <v>252.89037729061397</v>
      </c>
      <c r="K115" s="35">
        <f t="shared" si="7"/>
        <v>1.0083420442168969</v>
      </c>
      <c r="L115" s="48">
        <f t="shared" si="8"/>
        <v>242.66989805490121</v>
      </c>
    </row>
    <row r="116" spans="2:12" x14ac:dyDescent="0.3">
      <c r="B116" s="9">
        <v>42451</v>
      </c>
      <c r="C116" s="3" t="s">
        <v>4</v>
      </c>
      <c r="D116" s="3" t="s">
        <v>11</v>
      </c>
      <c r="E116" s="3" t="s">
        <v>12</v>
      </c>
      <c r="F116" s="5" t="s">
        <v>13</v>
      </c>
      <c r="G116" s="25">
        <v>232</v>
      </c>
      <c r="H116" s="35">
        <f t="shared" si="9"/>
        <v>0</v>
      </c>
      <c r="I116" s="3">
        <v>113</v>
      </c>
      <c r="J116" s="35">
        <f t="shared" si="6"/>
        <v>253.72812266049749</v>
      </c>
      <c r="K116" s="35">
        <f t="shared" si="7"/>
        <v>0.91436454724582916</v>
      </c>
      <c r="L116" s="48">
        <f t="shared" si="8"/>
        <v>222.67493036247055</v>
      </c>
    </row>
    <row r="117" spans="2:12" x14ac:dyDescent="0.3">
      <c r="B117" s="9">
        <v>42452</v>
      </c>
      <c r="C117" s="3" t="s">
        <v>5</v>
      </c>
      <c r="D117" s="3" t="s">
        <v>14</v>
      </c>
      <c r="E117" s="3" t="s">
        <v>15</v>
      </c>
      <c r="F117" s="5" t="s">
        <v>13</v>
      </c>
      <c r="G117" s="25">
        <v>256</v>
      </c>
      <c r="H117" s="35">
        <f t="shared" si="9"/>
        <v>0</v>
      </c>
      <c r="I117" s="3">
        <v>114</v>
      </c>
      <c r="J117" s="35">
        <f t="shared" si="6"/>
        <v>254.56586803038104</v>
      </c>
      <c r="K117" s="35">
        <f t="shared" si="7"/>
        <v>1.0056336380863431</v>
      </c>
      <c r="L117" s="48">
        <f t="shared" si="8"/>
        <v>240.57235418981443</v>
      </c>
    </row>
    <row r="118" spans="2:12" x14ac:dyDescent="0.3">
      <c r="B118" s="9">
        <v>42453</v>
      </c>
      <c r="C118" s="3" t="s">
        <v>6</v>
      </c>
      <c r="D118" s="3" t="s">
        <v>14</v>
      </c>
      <c r="E118" s="3" t="s">
        <v>15</v>
      </c>
      <c r="F118" s="5" t="s">
        <v>13</v>
      </c>
      <c r="G118" s="25">
        <v>259</v>
      </c>
      <c r="H118" s="35">
        <f t="shared" si="9"/>
        <v>0</v>
      </c>
      <c r="I118" s="3">
        <v>115</v>
      </c>
      <c r="J118" s="35">
        <f t="shared" si="6"/>
        <v>255.40361340026459</v>
      </c>
      <c r="K118" s="35">
        <f t="shared" si="7"/>
        <v>1.0140811891885775</v>
      </c>
      <c r="L118" s="48">
        <f t="shared" si="8"/>
        <v>240.95717470551037</v>
      </c>
    </row>
    <row r="119" spans="2:12" x14ac:dyDescent="0.3">
      <c r="B119" s="9">
        <v>42454</v>
      </c>
      <c r="C119" s="3" t="s">
        <v>7</v>
      </c>
      <c r="D119" s="3" t="s">
        <v>11</v>
      </c>
      <c r="E119" s="3" t="s">
        <v>16</v>
      </c>
      <c r="F119" s="5" t="s">
        <v>30</v>
      </c>
      <c r="G119" s="25">
        <v>289</v>
      </c>
      <c r="H119" s="35">
        <f t="shared" si="9"/>
        <v>1</v>
      </c>
      <c r="I119" s="3">
        <v>116</v>
      </c>
      <c r="J119" s="35">
        <f t="shared" si="6"/>
        <v>283.41347051650314</v>
      </c>
      <c r="K119" s="35">
        <f t="shared" si="7"/>
        <v>1.0197115877142882</v>
      </c>
      <c r="L119" s="48">
        <f t="shared" si="8"/>
        <v>284.51216808586258</v>
      </c>
    </row>
    <row r="120" spans="2:12" x14ac:dyDescent="0.3">
      <c r="B120" s="9">
        <v>42455</v>
      </c>
      <c r="C120" s="3" t="s">
        <v>8</v>
      </c>
      <c r="D120" s="3" t="s">
        <v>11</v>
      </c>
      <c r="E120" s="3" t="s">
        <v>15</v>
      </c>
      <c r="F120" s="5" t="s">
        <v>13</v>
      </c>
      <c r="G120" s="25">
        <v>307</v>
      </c>
      <c r="H120" s="35">
        <f t="shared" si="9"/>
        <v>0</v>
      </c>
      <c r="I120" s="3">
        <v>117</v>
      </c>
      <c r="J120" s="35">
        <f t="shared" si="6"/>
        <v>257.07910414003163</v>
      </c>
      <c r="K120" s="35">
        <f t="shared" si="7"/>
        <v>1.19418496118913</v>
      </c>
      <c r="L120" s="48">
        <f t="shared" si="8"/>
        <v>282.87876789842863</v>
      </c>
    </row>
    <row r="121" spans="2:12" x14ac:dyDescent="0.3">
      <c r="B121" s="9">
        <v>42456</v>
      </c>
      <c r="C121" s="3" t="s">
        <v>9</v>
      </c>
      <c r="D121" s="3" t="s">
        <v>11</v>
      </c>
      <c r="E121" s="3" t="s">
        <v>15</v>
      </c>
      <c r="F121" s="5" t="s">
        <v>30</v>
      </c>
      <c r="G121" s="25">
        <v>351</v>
      </c>
      <c r="H121" s="35">
        <f t="shared" si="9"/>
        <v>1</v>
      </c>
      <c r="I121" s="3">
        <v>118</v>
      </c>
      <c r="J121" s="35">
        <f t="shared" si="6"/>
        <v>285.08896125627018</v>
      </c>
      <c r="K121" s="35">
        <f t="shared" si="7"/>
        <v>1.2311946364155486</v>
      </c>
      <c r="L121" s="48">
        <f t="shared" si="8"/>
        <v>333.45048002244181</v>
      </c>
    </row>
    <row r="122" spans="2:12" x14ac:dyDescent="0.3">
      <c r="B122" s="9">
        <v>42457</v>
      </c>
      <c r="C122" s="3" t="s">
        <v>10</v>
      </c>
      <c r="D122" s="3" t="s">
        <v>11</v>
      </c>
      <c r="E122" s="3" t="s">
        <v>16</v>
      </c>
      <c r="F122" s="5" t="s">
        <v>13</v>
      </c>
      <c r="G122" s="25">
        <v>264</v>
      </c>
      <c r="H122" s="35">
        <f t="shared" si="9"/>
        <v>0</v>
      </c>
      <c r="I122" s="3">
        <v>119</v>
      </c>
      <c r="J122" s="35">
        <f t="shared" si="6"/>
        <v>258.75459487979867</v>
      </c>
      <c r="K122" s="35">
        <f t="shared" si="7"/>
        <v>1.020271737097608</v>
      </c>
      <c r="L122" s="48">
        <f t="shared" si="8"/>
        <v>248.29711526967037</v>
      </c>
    </row>
    <row r="123" spans="2:12" x14ac:dyDescent="0.3">
      <c r="B123" s="9">
        <v>42458</v>
      </c>
      <c r="C123" s="3" t="s">
        <v>4</v>
      </c>
      <c r="D123" s="3" t="s">
        <v>14</v>
      </c>
      <c r="E123" s="3" t="s">
        <v>15</v>
      </c>
      <c r="F123" s="5" t="s">
        <v>13</v>
      </c>
      <c r="G123" s="25">
        <v>244</v>
      </c>
      <c r="H123" s="35">
        <f t="shared" si="9"/>
        <v>0</v>
      </c>
      <c r="I123" s="3">
        <v>120</v>
      </c>
      <c r="J123" s="35">
        <f t="shared" si="6"/>
        <v>259.59234024968225</v>
      </c>
      <c r="K123" s="35">
        <f t="shared" si="7"/>
        <v>0.93993528378115798</v>
      </c>
      <c r="L123" s="48">
        <f t="shared" si="8"/>
        <v>227.82144005800535</v>
      </c>
    </row>
    <row r="124" spans="2:12" x14ac:dyDescent="0.3">
      <c r="B124" s="9">
        <v>42459</v>
      </c>
      <c r="C124" s="3" t="s">
        <v>5</v>
      </c>
      <c r="D124" s="3" t="s">
        <v>14</v>
      </c>
      <c r="E124" s="3" t="s">
        <v>12</v>
      </c>
      <c r="F124" s="5" t="s">
        <v>13</v>
      </c>
      <c r="G124" s="25">
        <v>259</v>
      </c>
      <c r="H124" s="35">
        <f t="shared" si="9"/>
        <v>0</v>
      </c>
      <c r="I124" s="3">
        <v>121</v>
      </c>
      <c r="J124" s="35">
        <f t="shared" si="6"/>
        <v>260.43008561956577</v>
      </c>
      <c r="K124" s="35">
        <f t="shared" si="7"/>
        <v>0.99450875417806051</v>
      </c>
      <c r="L124" s="48">
        <f t="shared" si="8"/>
        <v>246.11421509138322</v>
      </c>
    </row>
    <row r="125" spans="2:12" x14ac:dyDescent="0.3">
      <c r="B125" s="9">
        <v>42460</v>
      </c>
      <c r="C125" s="3" t="s">
        <v>6</v>
      </c>
      <c r="D125" s="3" t="s">
        <v>31</v>
      </c>
      <c r="E125" s="3" t="s">
        <v>15</v>
      </c>
      <c r="F125" s="5" t="s">
        <v>13</v>
      </c>
      <c r="G125" s="25">
        <v>265</v>
      </c>
      <c r="H125" s="35">
        <f t="shared" si="9"/>
        <v>0</v>
      </c>
      <c r="I125" s="3">
        <v>122</v>
      </c>
      <c r="J125" s="35">
        <f t="shared" si="6"/>
        <v>261.26783098944929</v>
      </c>
      <c r="K125" s="35">
        <f t="shared" si="7"/>
        <v>1.0142848394171475</v>
      </c>
      <c r="L125" s="48">
        <f t="shared" si="8"/>
        <v>246.48969354240651</v>
      </c>
    </row>
    <row r="126" spans="2:12" x14ac:dyDescent="0.3">
      <c r="B126" s="9">
        <v>42461</v>
      </c>
      <c r="C126" s="3" t="s">
        <v>7</v>
      </c>
      <c r="D126" s="3" t="s">
        <v>31</v>
      </c>
      <c r="E126" s="3" t="s">
        <v>16</v>
      </c>
      <c r="F126" s="5" t="s">
        <v>13</v>
      </c>
      <c r="G126" s="25">
        <v>277</v>
      </c>
      <c r="H126" s="35">
        <f t="shared" si="9"/>
        <v>0</v>
      </c>
      <c r="I126" s="3">
        <v>123</v>
      </c>
      <c r="J126" s="35">
        <f t="shared" si="6"/>
        <v>262.10557635933287</v>
      </c>
      <c r="K126" s="35">
        <f t="shared" si="7"/>
        <v>1.056826046387688</v>
      </c>
      <c r="L126" s="48">
        <f t="shared" si="8"/>
        <v>263.12167047489038</v>
      </c>
    </row>
    <row r="127" spans="2:12" x14ac:dyDescent="0.3">
      <c r="B127" s="9">
        <v>42462</v>
      </c>
      <c r="C127" s="3" t="s">
        <v>8</v>
      </c>
      <c r="D127" s="3" t="s">
        <v>14</v>
      </c>
      <c r="E127" s="3" t="s">
        <v>16</v>
      </c>
      <c r="F127" s="5" t="s">
        <v>13</v>
      </c>
      <c r="G127" s="25">
        <v>315</v>
      </c>
      <c r="H127" s="35">
        <f t="shared" si="9"/>
        <v>0</v>
      </c>
      <c r="I127" s="3">
        <v>124</v>
      </c>
      <c r="J127" s="35">
        <f t="shared" si="6"/>
        <v>262.94332172921639</v>
      </c>
      <c r="K127" s="35">
        <f t="shared" si="7"/>
        <v>1.1979768032458056</v>
      </c>
      <c r="L127" s="48">
        <f t="shared" si="8"/>
        <v>289.33150022712573</v>
      </c>
    </row>
    <row r="128" spans="2:12" ht="15" thickBot="1" x14ac:dyDescent="0.35">
      <c r="B128" s="10">
        <v>42463</v>
      </c>
      <c r="C128" s="7" t="s">
        <v>9</v>
      </c>
      <c r="D128" s="7" t="s">
        <v>11</v>
      </c>
      <c r="E128" s="7" t="s">
        <v>29</v>
      </c>
      <c r="F128" s="8" t="s">
        <v>13</v>
      </c>
      <c r="G128" s="27">
        <v>340</v>
      </c>
      <c r="H128" s="50">
        <f t="shared" si="9"/>
        <v>0</v>
      </c>
      <c r="I128" s="7">
        <v>125</v>
      </c>
      <c r="J128" s="50">
        <f t="shared" si="6"/>
        <v>263.78106709909991</v>
      </c>
      <c r="K128" s="50">
        <f t="shared" si="7"/>
        <v>1.2889477009821384</v>
      </c>
      <c r="L128" s="43">
        <f t="shared" si="8"/>
        <v>308.52798739534597</v>
      </c>
    </row>
    <row r="129" spans="2:12" ht="15" thickBot="1" x14ac:dyDescent="0.35">
      <c r="B129" s="36">
        <v>42464</v>
      </c>
      <c r="C129" t="s">
        <v>10</v>
      </c>
      <c r="D129" t="s">
        <v>11</v>
      </c>
      <c r="E129" t="s">
        <v>70</v>
      </c>
      <c r="F129" t="s">
        <v>30</v>
      </c>
      <c r="G129">
        <v>200</v>
      </c>
      <c r="H129" s="50">
        <f t="shared" si="9"/>
        <v>1</v>
      </c>
      <c r="I129" s="7">
        <v>125</v>
      </c>
      <c r="J129" s="50">
        <f t="shared" si="6"/>
        <v>290.95317884545494</v>
      </c>
      <c r="K129" s="50">
        <f t="shared" si="7"/>
        <v>0.68739582359481155</v>
      </c>
      <c r="L129" s="43">
        <f t="shared" si="8"/>
        <v>279.19440433290271</v>
      </c>
    </row>
    <row r="130" spans="2:12" ht="15" thickBot="1" x14ac:dyDescent="0.35">
      <c r="B130" s="36">
        <v>42465</v>
      </c>
      <c r="C130" t="s">
        <v>4</v>
      </c>
      <c r="D130" t="s">
        <v>14</v>
      </c>
      <c r="E130" t="s">
        <v>32</v>
      </c>
      <c r="F130" t="s">
        <v>13</v>
      </c>
      <c r="G130">
        <v>550</v>
      </c>
      <c r="H130" s="50">
        <f t="shared" si="9"/>
        <v>0</v>
      </c>
      <c r="I130" s="7">
        <v>125</v>
      </c>
      <c r="J130" s="50">
        <f t="shared" si="6"/>
        <v>263.78106709909991</v>
      </c>
      <c r="K130" s="50">
        <f t="shared" si="7"/>
        <v>2.0850624574711061</v>
      </c>
      <c r="L130" s="43">
        <f t="shared" si="8"/>
        <v>231.49751841195877</v>
      </c>
    </row>
    <row r="131" spans="2:12" ht="15" thickBot="1" x14ac:dyDescent="0.35">
      <c r="B131" s="36">
        <v>42466</v>
      </c>
      <c r="C131" t="s">
        <v>5</v>
      </c>
      <c r="D131" t="s">
        <v>11</v>
      </c>
      <c r="E131" t="s">
        <v>70</v>
      </c>
      <c r="F131" t="s">
        <v>30</v>
      </c>
      <c r="G131">
        <v>220</v>
      </c>
      <c r="H131" s="50">
        <f t="shared" si="9"/>
        <v>1</v>
      </c>
      <c r="I131" s="7">
        <v>125</v>
      </c>
      <c r="J131" s="50">
        <f t="shared" si="6"/>
        <v>290.95317884545494</v>
      </c>
      <c r="K131" s="50">
        <f t="shared" si="7"/>
        <v>0.75613540595429274</v>
      </c>
      <c r="L131" s="43">
        <f t="shared" si="8"/>
        <v>274.95945051638915</v>
      </c>
    </row>
    <row r="132" spans="2:12" ht="15" thickBot="1" x14ac:dyDescent="0.35">
      <c r="B132" s="36">
        <v>42467</v>
      </c>
      <c r="C132" t="s">
        <v>6</v>
      </c>
      <c r="D132" t="s">
        <v>11</v>
      </c>
      <c r="E132" t="s">
        <v>70</v>
      </c>
      <c r="F132" t="s">
        <v>30</v>
      </c>
      <c r="G132">
        <v>445</v>
      </c>
      <c r="H132" s="50">
        <f t="shared" si="9"/>
        <v>1</v>
      </c>
      <c r="I132" s="7">
        <v>125</v>
      </c>
      <c r="J132" s="50">
        <f t="shared" si="6"/>
        <v>290.95317884545494</v>
      </c>
      <c r="K132" s="50">
        <f t="shared" si="7"/>
        <v>1.5294557074984556</v>
      </c>
      <c r="L132" s="43">
        <f t="shared" si="8"/>
        <v>274.49594394076519</v>
      </c>
    </row>
    <row r="133" spans="2:12" ht="15" thickBot="1" x14ac:dyDescent="0.35">
      <c r="B133" s="36">
        <v>42468</v>
      </c>
      <c r="C133" t="s">
        <v>7</v>
      </c>
      <c r="D133" t="s">
        <v>26</v>
      </c>
      <c r="E133" t="s">
        <v>70</v>
      </c>
      <c r="F133" t="s">
        <v>30</v>
      </c>
      <c r="G133">
        <v>200</v>
      </c>
      <c r="H133" s="50">
        <f t="shared" si="9"/>
        <v>1</v>
      </c>
      <c r="I133" s="7">
        <v>125</v>
      </c>
      <c r="J133" s="50">
        <f t="shared" si="6"/>
        <v>290.95317884545494</v>
      </c>
      <c r="K133" s="50">
        <f t="shared" si="7"/>
        <v>0.68739582359481155</v>
      </c>
      <c r="L133" s="43">
        <f t="shared" si="8"/>
        <v>292.08110529797085</v>
      </c>
    </row>
    <row r="134" spans="2:12" ht="15" thickBot="1" x14ac:dyDescent="0.35">
      <c r="B134" s="36">
        <v>42469</v>
      </c>
      <c r="C134" t="s">
        <v>8</v>
      </c>
      <c r="D134" t="s">
        <v>11</v>
      </c>
      <c r="E134" t="s">
        <v>70</v>
      </c>
      <c r="F134" t="s">
        <v>30</v>
      </c>
      <c r="G134">
        <v>8</v>
      </c>
      <c r="H134" s="50">
        <f t="shared" si="9"/>
        <v>1</v>
      </c>
      <c r="I134" s="7">
        <v>125</v>
      </c>
      <c r="J134" s="50">
        <f t="shared" si="6"/>
        <v>290.95317884545494</v>
      </c>
      <c r="K134" s="50">
        <f t="shared" si="7"/>
        <v>2.7495832943792462E-2</v>
      </c>
      <c r="L134" s="43">
        <f t="shared" si="8"/>
        <v>320.15233997043174</v>
      </c>
    </row>
    <row r="135" spans="2:12" ht="15" thickBot="1" x14ac:dyDescent="0.35">
      <c r="B135" s="36">
        <v>42470</v>
      </c>
      <c r="C135" t="s">
        <v>9</v>
      </c>
      <c r="D135" t="s">
        <v>26</v>
      </c>
      <c r="E135" t="s">
        <v>70</v>
      </c>
      <c r="F135" t="s">
        <v>30</v>
      </c>
      <c r="G135">
        <v>151</v>
      </c>
      <c r="H135" s="50">
        <f t="shared" si="9"/>
        <v>1</v>
      </c>
      <c r="I135" s="7">
        <v>125</v>
      </c>
      <c r="J135" s="50">
        <f t="shared" si="6"/>
        <v>290.95317884545494</v>
      </c>
      <c r="K135" s="50">
        <f t="shared" si="7"/>
        <v>0.51898384681408272</v>
      </c>
      <c r="L135" s="43">
        <f t="shared" si="8"/>
        <v>340.30948347684756</v>
      </c>
    </row>
    <row r="136" spans="2:12" ht="15" thickBot="1" x14ac:dyDescent="0.35">
      <c r="B136" s="36">
        <v>42471</v>
      </c>
      <c r="C136" t="s">
        <v>10</v>
      </c>
      <c r="D136" t="s">
        <v>11</v>
      </c>
      <c r="E136" t="s">
        <v>70</v>
      </c>
      <c r="F136" t="s">
        <v>30</v>
      </c>
      <c r="G136">
        <v>151</v>
      </c>
      <c r="H136" s="50">
        <f t="shared" si="9"/>
        <v>1</v>
      </c>
      <c r="I136" s="7">
        <v>125</v>
      </c>
      <c r="J136" s="50">
        <f t="shared" si="6"/>
        <v>290.95317884545494</v>
      </c>
      <c r="K136" s="50">
        <f t="shared" si="7"/>
        <v>0.51898384681408272</v>
      </c>
      <c r="L136" s="43">
        <f t="shared" si="8"/>
        <v>279.19440433290271</v>
      </c>
    </row>
    <row r="137" spans="2:12" ht="15" thickBot="1" x14ac:dyDescent="0.35">
      <c r="B137" s="36">
        <v>42472</v>
      </c>
      <c r="C137" t="s">
        <v>4</v>
      </c>
      <c r="D137" t="s">
        <v>26</v>
      </c>
      <c r="E137" t="s">
        <v>70</v>
      </c>
      <c r="F137" t="s">
        <v>30</v>
      </c>
      <c r="G137">
        <v>155</v>
      </c>
      <c r="H137" s="50">
        <f t="shared" si="9"/>
        <v>1</v>
      </c>
      <c r="I137" s="7">
        <v>125</v>
      </c>
      <c r="J137" s="50">
        <f t="shared" si="6"/>
        <v>290.95317884545494</v>
      </c>
      <c r="K137" s="50">
        <f t="shared" si="7"/>
        <v>0.53273176328597893</v>
      </c>
      <c r="L137" s="43">
        <f t="shared" si="8"/>
        <v>255.34409886775177</v>
      </c>
    </row>
    <row r="138" spans="2:12" ht="15" thickBot="1" x14ac:dyDescent="0.35">
      <c r="B138" s="36">
        <v>42473</v>
      </c>
      <c r="C138" t="s">
        <v>5</v>
      </c>
      <c r="D138" t="s">
        <v>11</v>
      </c>
      <c r="E138" t="s">
        <v>32</v>
      </c>
      <c r="F138" t="s">
        <v>30</v>
      </c>
      <c r="G138">
        <v>154</v>
      </c>
      <c r="H138" s="50">
        <f t="shared" si="9"/>
        <v>1</v>
      </c>
      <c r="I138" s="7">
        <v>125</v>
      </c>
      <c r="J138" s="50">
        <f t="shared" si="6"/>
        <v>290.95317884545494</v>
      </c>
      <c r="K138" s="50">
        <f t="shared" si="7"/>
        <v>0.52929478416800491</v>
      </c>
      <c r="L138" s="43">
        <f t="shared" si="8"/>
        <v>274.95945051638915</v>
      </c>
    </row>
    <row r="139" spans="2:12" x14ac:dyDescent="0.3">
      <c r="B139" s="36"/>
    </row>
  </sheetData>
  <mergeCells count="1">
    <mergeCell ref="D2:F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A138"/>
  <sheetViews>
    <sheetView topLeftCell="C3" workbookViewId="0">
      <selection activeCell="M3" sqref="M3"/>
    </sheetView>
  </sheetViews>
  <sheetFormatPr defaultRowHeight="14.4" x14ac:dyDescent="0.3"/>
  <cols>
    <col min="19" max="19" width="10.6640625" customWidth="1"/>
    <col min="20" max="20" width="12.88671875" customWidth="1"/>
  </cols>
  <sheetData>
    <row r="1" spans="2:24" ht="15" thickBot="1" x14ac:dyDescent="0.35"/>
    <row r="2" spans="2:24" ht="15" thickBot="1" x14ac:dyDescent="0.35">
      <c r="B2" s="2"/>
      <c r="C2" s="1"/>
      <c r="D2" s="61" t="s">
        <v>1</v>
      </c>
      <c r="E2" s="59"/>
      <c r="F2" s="60"/>
      <c r="G2" s="58" t="s">
        <v>27</v>
      </c>
      <c r="H2" s="59"/>
      <c r="I2" s="59"/>
      <c r="J2" s="59"/>
      <c r="K2" s="59"/>
      <c r="L2" s="60"/>
    </row>
    <row r="3" spans="2:24" x14ac:dyDescent="0.3">
      <c r="B3" s="53" t="s">
        <v>0</v>
      </c>
      <c r="C3" s="46" t="s">
        <v>25</v>
      </c>
      <c r="D3" s="46" t="s">
        <v>2</v>
      </c>
      <c r="E3" s="46" t="s">
        <v>3</v>
      </c>
      <c r="F3" s="47" t="s">
        <v>28</v>
      </c>
      <c r="G3" s="54" t="s">
        <v>23</v>
      </c>
      <c r="H3" s="46" t="s">
        <v>32</v>
      </c>
      <c r="I3" s="46" t="s">
        <v>16</v>
      </c>
      <c r="J3" s="46" t="s">
        <v>11</v>
      </c>
      <c r="K3" s="46" t="s">
        <v>31</v>
      </c>
      <c r="L3" s="46" t="s">
        <v>14</v>
      </c>
      <c r="M3" s="46" t="s">
        <v>33</v>
      </c>
      <c r="N3" s="46" t="s">
        <v>34</v>
      </c>
      <c r="O3" s="46" t="s">
        <v>58</v>
      </c>
      <c r="P3" s="46" t="s">
        <v>63</v>
      </c>
      <c r="Q3" s="47" t="s">
        <v>66</v>
      </c>
      <c r="S3" t="s">
        <v>35</v>
      </c>
    </row>
    <row r="4" spans="2:24" ht="15" thickBot="1" x14ac:dyDescent="0.35">
      <c r="B4" s="9">
        <v>42339</v>
      </c>
      <c r="C4" s="3" t="s">
        <v>4</v>
      </c>
      <c r="D4" s="3" t="s">
        <v>11</v>
      </c>
      <c r="E4" s="3" t="s">
        <v>15</v>
      </c>
      <c r="F4" s="5" t="s">
        <v>13</v>
      </c>
      <c r="G4" s="25">
        <v>138</v>
      </c>
      <c r="H4" s="3">
        <f t="shared" ref="H4:H35" si="0">IF(E4=$H$3,1,0)</f>
        <v>0</v>
      </c>
      <c r="I4" s="3">
        <f t="shared" ref="I4:I35" si="1">IF(E4=$I$3,1,0)</f>
        <v>0</v>
      </c>
      <c r="J4" s="3">
        <f t="shared" ref="J4:J35" si="2">IF(D4=J$3,1,0)</f>
        <v>1</v>
      </c>
      <c r="K4" s="3">
        <f t="shared" ref="K4:K35" si="3">IF(D4=K$3,1,0)</f>
        <v>0</v>
      </c>
      <c r="L4" s="3">
        <f t="shared" ref="L4:L35" si="4">IF(D4=L$3,1,0)</f>
        <v>0</v>
      </c>
      <c r="M4" s="35">
        <f t="shared" ref="M4:M35" si="5">IF(F4="Yes",1,0)</f>
        <v>0</v>
      </c>
      <c r="N4" s="3">
        <v>1</v>
      </c>
      <c r="O4" s="35">
        <f>$T$19+$T$20*H4+$T$21*I4+$T$22*J4+$T$23*K4+$T$24*L4+$T$25*M4+$T$26*N4</f>
        <v>127.28467680468997</v>
      </c>
      <c r="P4" s="35">
        <f>G4/O4</f>
        <v>1.0841839211467064</v>
      </c>
      <c r="Q4" s="48">
        <f>VLOOKUP(C4,$S$32:$T$38,2,FALSE)*O4</f>
        <v>137.88812833881187</v>
      </c>
    </row>
    <row r="5" spans="2:24" x14ac:dyDescent="0.3">
      <c r="B5" s="9">
        <v>42340</v>
      </c>
      <c r="C5" s="3" t="s">
        <v>5</v>
      </c>
      <c r="D5" s="3" t="s">
        <v>11</v>
      </c>
      <c r="E5" s="3" t="s">
        <v>29</v>
      </c>
      <c r="F5" s="5" t="s">
        <v>13</v>
      </c>
      <c r="G5" s="25">
        <v>174</v>
      </c>
      <c r="H5" s="3">
        <f t="shared" si="0"/>
        <v>1</v>
      </c>
      <c r="I5" s="3">
        <f t="shared" si="1"/>
        <v>0</v>
      </c>
      <c r="J5" s="3">
        <f t="shared" si="2"/>
        <v>1</v>
      </c>
      <c r="K5" s="3">
        <f t="shared" si="3"/>
        <v>0</v>
      </c>
      <c r="L5" s="3">
        <f t="shared" si="4"/>
        <v>0</v>
      </c>
      <c r="M5" s="35">
        <f t="shared" si="5"/>
        <v>0</v>
      </c>
      <c r="N5" s="3">
        <v>2</v>
      </c>
      <c r="O5" s="35">
        <f t="shared" ref="O5:O68" si="6">$T$19+$T$20*H5+$T$21*I5+$T$22*J5+$T$23*K5+$T$24*L5+$T$25*M5+$T$26*N5</f>
        <v>171.87677723661338</v>
      </c>
      <c r="P5" s="35">
        <f t="shared" ref="P5:P68" si="7">G5/O5</f>
        <v>1.0123531683425953</v>
      </c>
      <c r="Q5" s="48">
        <f t="shared" ref="Q5:Q68" si="8">VLOOKUP(C5,$S$32:$T$38,2,FALSE)*O5</f>
        <v>198.82674691293414</v>
      </c>
      <c r="S5" s="32" t="s">
        <v>36</v>
      </c>
      <c r="T5" s="32"/>
    </row>
    <row r="6" spans="2:24" x14ac:dyDescent="0.3">
      <c r="B6" s="9">
        <v>42341</v>
      </c>
      <c r="C6" s="3" t="s">
        <v>6</v>
      </c>
      <c r="D6" s="3" t="s">
        <v>14</v>
      </c>
      <c r="E6" s="3" t="s">
        <v>15</v>
      </c>
      <c r="F6" s="5" t="s">
        <v>13</v>
      </c>
      <c r="G6" s="25">
        <v>130</v>
      </c>
      <c r="H6" s="3">
        <f t="shared" si="0"/>
        <v>0</v>
      </c>
      <c r="I6" s="3">
        <f t="shared" si="1"/>
        <v>0</v>
      </c>
      <c r="J6" s="3">
        <f t="shared" si="2"/>
        <v>0</v>
      </c>
      <c r="K6" s="3">
        <f t="shared" si="3"/>
        <v>0</v>
      </c>
      <c r="L6" s="3">
        <f t="shared" si="4"/>
        <v>1</v>
      </c>
      <c r="M6" s="35">
        <f t="shared" si="5"/>
        <v>0</v>
      </c>
      <c r="N6" s="3">
        <v>3</v>
      </c>
      <c r="O6" s="35">
        <f t="shared" si="6"/>
        <v>121.51255839125808</v>
      </c>
      <c r="P6" s="35">
        <f t="shared" si="7"/>
        <v>1.0698482668878819</v>
      </c>
      <c r="Q6" s="48">
        <f t="shared" si="8"/>
        <v>129.77307050070561</v>
      </c>
      <c r="S6" s="29" t="s">
        <v>37</v>
      </c>
      <c r="T6" s="29">
        <v>0.73766260282210294</v>
      </c>
    </row>
    <row r="7" spans="2:24" x14ac:dyDescent="0.3">
      <c r="B7" s="9">
        <v>42342</v>
      </c>
      <c r="C7" s="3" t="s">
        <v>7</v>
      </c>
      <c r="D7" s="3" t="s">
        <v>11</v>
      </c>
      <c r="E7" s="3" t="s">
        <v>15</v>
      </c>
      <c r="F7" s="5" t="s">
        <v>13</v>
      </c>
      <c r="G7" s="25">
        <v>129</v>
      </c>
      <c r="H7" s="3">
        <f t="shared" si="0"/>
        <v>0</v>
      </c>
      <c r="I7" s="3">
        <f t="shared" si="1"/>
        <v>0</v>
      </c>
      <c r="J7" s="3">
        <f t="shared" si="2"/>
        <v>1</v>
      </c>
      <c r="K7" s="3">
        <f t="shared" si="3"/>
        <v>0</v>
      </c>
      <c r="L7" s="3">
        <f t="shared" si="4"/>
        <v>0</v>
      </c>
      <c r="M7" s="35">
        <f t="shared" si="5"/>
        <v>0</v>
      </c>
      <c r="N7" s="3">
        <v>4</v>
      </c>
      <c r="O7" s="35">
        <f t="shared" si="6"/>
        <v>129.03080898369245</v>
      </c>
      <c r="P7" s="35">
        <f t="shared" si="7"/>
        <v>0.99976122769488063</v>
      </c>
      <c r="Q7" s="48">
        <f t="shared" si="8"/>
        <v>136.13342347842007</v>
      </c>
      <c r="S7" s="29" t="s">
        <v>38</v>
      </c>
      <c r="T7" s="29">
        <v>0.54414611560227955</v>
      </c>
    </row>
    <row r="8" spans="2:24" x14ac:dyDescent="0.3">
      <c r="B8" s="9">
        <v>42343</v>
      </c>
      <c r="C8" s="3" t="s">
        <v>8</v>
      </c>
      <c r="D8" s="3" t="s">
        <v>11</v>
      </c>
      <c r="E8" s="3" t="s">
        <v>15</v>
      </c>
      <c r="F8" s="5" t="s">
        <v>13</v>
      </c>
      <c r="G8" s="25">
        <v>118</v>
      </c>
      <c r="H8" s="3">
        <f t="shared" si="0"/>
        <v>0</v>
      </c>
      <c r="I8" s="3">
        <f t="shared" si="1"/>
        <v>0</v>
      </c>
      <c r="J8" s="3">
        <f t="shared" si="2"/>
        <v>1</v>
      </c>
      <c r="K8" s="3">
        <f t="shared" si="3"/>
        <v>0</v>
      </c>
      <c r="L8" s="3">
        <f t="shared" si="4"/>
        <v>0</v>
      </c>
      <c r="M8" s="35">
        <f t="shared" si="5"/>
        <v>0</v>
      </c>
      <c r="N8" s="3">
        <v>5</v>
      </c>
      <c r="O8" s="35">
        <f t="shared" si="6"/>
        <v>129.61285304335996</v>
      </c>
      <c r="P8" s="35">
        <f t="shared" si="7"/>
        <v>0.91040353814698405</v>
      </c>
      <c r="Q8" s="48">
        <f t="shared" si="8"/>
        <v>115.28240522610265</v>
      </c>
      <c r="S8" s="29" t="s">
        <v>39</v>
      </c>
      <c r="T8" s="29">
        <v>0.51687280627933896</v>
      </c>
    </row>
    <row r="9" spans="2:24" x14ac:dyDescent="0.3">
      <c r="B9" s="9">
        <v>42344</v>
      </c>
      <c r="C9" s="3" t="s">
        <v>9</v>
      </c>
      <c r="D9" s="3" t="s">
        <v>14</v>
      </c>
      <c r="E9" s="3" t="s">
        <v>16</v>
      </c>
      <c r="F9" s="5" t="s">
        <v>13</v>
      </c>
      <c r="G9" s="25">
        <v>105</v>
      </c>
      <c r="H9" s="3">
        <f t="shared" si="0"/>
        <v>0</v>
      </c>
      <c r="I9" s="3">
        <f t="shared" si="1"/>
        <v>1</v>
      </c>
      <c r="J9" s="3">
        <f t="shared" si="2"/>
        <v>0</v>
      </c>
      <c r="K9" s="3">
        <f t="shared" si="3"/>
        <v>0</v>
      </c>
      <c r="L9" s="3">
        <f t="shared" si="4"/>
        <v>1</v>
      </c>
      <c r="M9" s="35">
        <f t="shared" si="5"/>
        <v>0</v>
      </c>
      <c r="N9" s="3">
        <v>6</v>
      </c>
      <c r="O9" s="35">
        <f t="shared" si="6"/>
        <v>162.54706145411845</v>
      </c>
      <c r="P9" s="35">
        <f t="shared" si="7"/>
        <v>0.64596676839733558</v>
      </c>
      <c r="Q9" s="48">
        <f t="shared" si="8"/>
        <v>116.86984018359367</v>
      </c>
      <c r="S9" s="29" t="s">
        <v>40</v>
      </c>
      <c r="T9" s="29">
        <v>30.43010131150707</v>
      </c>
    </row>
    <row r="10" spans="2:24" ht="15" thickBot="1" x14ac:dyDescent="0.35">
      <c r="B10" s="9">
        <v>42345</v>
      </c>
      <c r="C10" s="3" t="s">
        <v>10</v>
      </c>
      <c r="D10" s="3" t="s">
        <v>11</v>
      </c>
      <c r="E10" s="3" t="s">
        <v>29</v>
      </c>
      <c r="F10" s="5" t="s">
        <v>13</v>
      </c>
      <c r="G10" s="25">
        <v>167</v>
      </c>
      <c r="H10" s="3">
        <f t="shared" si="0"/>
        <v>1</v>
      </c>
      <c r="I10" s="3">
        <f t="shared" si="1"/>
        <v>0</v>
      </c>
      <c r="J10" s="3">
        <f t="shared" si="2"/>
        <v>1</v>
      </c>
      <c r="K10" s="3">
        <f t="shared" si="3"/>
        <v>0</v>
      </c>
      <c r="L10" s="3">
        <f t="shared" si="4"/>
        <v>0</v>
      </c>
      <c r="M10" s="35">
        <f t="shared" si="5"/>
        <v>0</v>
      </c>
      <c r="N10" s="3">
        <v>7</v>
      </c>
      <c r="O10" s="35">
        <f t="shared" si="6"/>
        <v>174.78699753495087</v>
      </c>
      <c r="P10" s="35">
        <f t="shared" si="7"/>
        <v>0.95544864523807749</v>
      </c>
      <c r="Q10" s="48">
        <f t="shared" si="8"/>
        <v>184.4339951586397</v>
      </c>
      <c r="S10" s="30" t="s">
        <v>41</v>
      </c>
      <c r="T10" s="30">
        <v>125</v>
      </c>
    </row>
    <row r="11" spans="2:24" x14ac:dyDescent="0.3">
      <c r="B11" s="9">
        <v>42346</v>
      </c>
      <c r="C11" s="3" t="s">
        <v>4</v>
      </c>
      <c r="D11" s="3" t="s">
        <v>11</v>
      </c>
      <c r="E11" s="3" t="s">
        <v>15</v>
      </c>
      <c r="F11" s="5" t="s">
        <v>13</v>
      </c>
      <c r="G11" s="25">
        <v>141</v>
      </c>
      <c r="H11" s="3">
        <f t="shared" si="0"/>
        <v>0</v>
      </c>
      <c r="I11" s="3">
        <f t="shared" si="1"/>
        <v>0</v>
      </c>
      <c r="J11" s="3">
        <f t="shared" si="2"/>
        <v>1</v>
      </c>
      <c r="K11" s="3">
        <f t="shared" si="3"/>
        <v>0</v>
      </c>
      <c r="L11" s="3">
        <f t="shared" si="4"/>
        <v>0</v>
      </c>
      <c r="M11" s="35">
        <f t="shared" si="5"/>
        <v>0</v>
      </c>
      <c r="N11" s="3">
        <v>8</v>
      </c>
      <c r="O11" s="35">
        <f t="shared" si="6"/>
        <v>131.35898522236243</v>
      </c>
      <c r="P11" s="35">
        <f t="shared" si="7"/>
        <v>1.0733944066431194</v>
      </c>
      <c r="Q11" s="48">
        <f t="shared" si="8"/>
        <v>142.30184706828601</v>
      </c>
    </row>
    <row r="12" spans="2:24" ht="15" thickBot="1" x14ac:dyDescent="0.35">
      <c r="B12" s="9">
        <v>42347</v>
      </c>
      <c r="C12" s="3" t="s">
        <v>5</v>
      </c>
      <c r="D12" s="3" t="s">
        <v>11</v>
      </c>
      <c r="E12" s="3" t="s">
        <v>16</v>
      </c>
      <c r="F12" s="5" t="s">
        <v>13</v>
      </c>
      <c r="G12" s="25">
        <v>179</v>
      </c>
      <c r="H12" s="3">
        <f t="shared" si="0"/>
        <v>0</v>
      </c>
      <c r="I12" s="3">
        <f t="shared" si="1"/>
        <v>1</v>
      </c>
      <c r="J12" s="3">
        <f t="shared" si="2"/>
        <v>1</v>
      </c>
      <c r="K12" s="3">
        <f t="shared" si="3"/>
        <v>0</v>
      </c>
      <c r="L12" s="3">
        <f t="shared" si="4"/>
        <v>0</v>
      </c>
      <c r="M12" s="35">
        <f t="shared" si="5"/>
        <v>0</v>
      </c>
      <c r="N12" s="3">
        <v>9</v>
      </c>
      <c r="O12" s="35">
        <f t="shared" si="6"/>
        <v>171.22940016588782</v>
      </c>
      <c r="P12" s="35">
        <f t="shared" si="7"/>
        <v>1.0453812244076308</v>
      </c>
      <c r="Q12" s="48">
        <f t="shared" si="8"/>
        <v>198.07786228135188</v>
      </c>
      <c r="S12" t="s">
        <v>42</v>
      </c>
    </row>
    <row r="13" spans="2:24" x14ac:dyDescent="0.3">
      <c r="B13" s="9">
        <v>42348</v>
      </c>
      <c r="C13" s="3" t="s">
        <v>6</v>
      </c>
      <c r="D13" s="3" t="s">
        <v>26</v>
      </c>
      <c r="E13" s="3" t="s">
        <v>16</v>
      </c>
      <c r="F13" s="5" t="s">
        <v>13</v>
      </c>
      <c r="G13" s="25">
        <v>134</v>
      </c>
      <c r="H13" s="3">
        <f t="shared" si="0"/>
        <v>0</v>
      </c>
      <c r="I13" s="3">
        <f t="shared" si="1"/>
        <v>1</v>
      </c>
      <c r="J13" s="3">
        <f t="shared" si="2"/>
        <v>0</v>
      </c>
      <c r="K13" s="3">
        <f t="shared" si="3"/>
        <v>0</v>
      </c>
      <c r="L13" s="3">
        <f t="shared" si="4"/>
        <v>0</v>
      </c>
      <c r="M13" s="35">
        <f t="shared" si="5"/>
        <v>0</v>
      </c>
      <c r="N13" s="3">
        <v>10</v>
      </c>
      <c r="O13" s="35">
        <f t="shared" si="6"/>
        <v>130.0468041413593</v>
      </c>
      <c r="P13" s="35">
        <f t="shared" si="7"/>
        <v>1.0303982545725894</v>
      </c>
      <c r="Q13" s="48">
        <f t="shared" si="8"/>
        <v>138.88748048483373</v>
      </c>
      <c r="S13" s="31"/>
      <c r="T13" s="31" t="s">
        <v>47</v>
      </c>
      <c r="U13" s="31" t="s">
        <v>48</v>
      </c>
      <c r="V13" s="31" t="s">
        <v>49</v>
      </c>
      <c r="W13" s="31" t="s">
        <v>50</v>
      </c>
      <c r="X13" s="31" t="s">
        <v>51</v>
      </c>
    </row>
    <row r="14" spans="2:24" x14ac:dyDescent="0.3">
      <c r="B14" s="9">
        <v>42349</v>
      </c>
      <c r="C14" s="3" t="s">
        <v>7</v>
      </c>
      <c r="D14" s="3" t="s">
        <v>14</v>
      </c>
      <c r="E14" s="3" t="s">
        <v>16</v>
      </c>
      <c r="F14" s="5" t="s">
        <v>13</v>
      </c>
      <c r="G14" s="25">
        <v>157</v>
      </c>
      <c r="H14" s="3">
        <f t="shared" si="0"/>
        <v>0</v>
      </c>
      <c r="I14" s="3">
        <f t="shared" si="1"/>
        <v>1</v>
      </c>
      <c r="J14" s="3">
        <f t="shared" si="2"/>
        <v>0</v>
      </c>
      <c r="K14" s="3">
        <f t="shared" si="3"/>
        <v>0</v>
      </c>
      <c r="L14" s="3">
        <f t="shared" si="4"/>
        <v>1</v>
      </c>
      <c r="M14" s="35">
        <f t="shared" si="5"/>
        <v>0</v>
      </c>
      <c r="N14" s="3">
        <v>11</v>
      </c>
      <c r="O14" s="35">
        <f t="shared" si="6"/>
        <v>165.45728175245594</v>
      </c>
      <c r="P14" s="35">
        <f t="shared" si="7"/>
        <v>0.9488854061732438</v>
      </c>
      <c r="Q14" s="48">
        <f t="shared" si="8"/>
        <v>174.56502351498145</v>
      </c>
      <c r="S14" s="29" t="s">
        <v>43</v>
      </c>
      <c r="T14" s="29">
        <v>7</v>
      </c>
      <c r="U14" s="29">
        <v>129325.01329805568</v>
      </c>
      <c r="V14" s="29">
        <v>18475.00189972224</v>
      </c>
      <c r="W14" s="29">
        <v>19.951598434905698</v>
      </c>
      <c r="X14" s="29">
        <v>2.1094709319907573E-17</v>
      </c>
    </row>
    <row r="15" spans="2:24" x14ac:dyDescent="0.3">
      <c r="B15" s="9">
        <v>42350</v>
      </c>
      <c r="C15" s="3" t="s">
        <v>8</v>
      </c>
      <c r="D15" s="3" t="s">
        <v>14</v>
      </c>
      <c r="E15" s="3" t="s">
        <v>16</v>
      </c>
      <c r="F15" s="5" t="s">
        <v>13</v>
      </c>
      <c r="G15" s="25">
        <v>131</v>
      </c>
      <c r="H15" s="3">
        <f t="shared" si="0"/>
        <v>0</v>
      </c>
      <c r="I15" s="3">
        <f t="shared" si="1"/>
        <v>1</v>
      </c>
      <c r="J15" s="3">
        <f t="shared" si="2"/>
        <v>0</v>
      </c>
      <c r="K15" s="3">
        <f t="shared" si="3"/>
        <v>0</v>
      </c>
      <c r="L15" s="3">
        <f t="shared" si="4"/>
        <v>1</v>
      </c>
      <c r="M15" s="35">
        <f t="shared" si="5"/>
        <v>0</v>
      </c>
      <c r="N15" s="3">
        <v>12</v>
      </c>
      <c r="O15" s="35">
        <f t="shared" si="6"/>
        <v>166.03932581212345</v>
      </c>
      <c r="P15" s="35">
        <f t="shared" si="7"/>
        <v>0.78896971762116708</v>
      </c>
      <c r="Q15" s="48">
        <f t="shared" si="8"/>
        <v>147.68144047672988</v>
      </c>
      <c r="S15" s="29" t="s">
        <v>44</v>
      </c>
      <c r="T15" s="29">
        <v>117</v>
      </c>
      <c r="U15" s="29">
        <v>108340.95470194434</v>
      </c>
      <c r="V15" s="29">
        <v>925.99106582858417</v>
      </c>
      <c r="W15" s="29"/>
      <c r="X15" s="29"/>
    </row>
    <row r="16" spans="2:24" ht="15" thickBot="1" x14ac:dyDescent="0.35">
      <c r="B16" s="9">
        <v>42351</v>
      </c>
      <c r="C16" s="3" t="s">
        <v>9</v>
      </c>
      <c r="D16" s="3" t="s">
        <v>26</v>
      </c>
      <c r="E16" s="3" t="s">
        <v>15</v>
      </c>
      <c r="F16" s="5" t="s">
        <v>13</v>
      </c>
      <c r="G16" s="25">
        <v>96</v>
      </c>
      <c r="H16" s="3">
        <f t="shared" si="0"/>
        <v>0</v>
      </c>
      <c r="I16" s="3">
        <f t="shared" si="1"/>
        <v>0</v>
      </c>
      <c r="J16" s="3">
        <f t="shared" si="2"/>
        <v>0</v>
      </c>
      <c r="K16" s="3">
        <f t="shared" si="3"/>
        <v>0</v>
      </c>
      <c r="L16" s="3">
        <f t="shared" si="4"/>
        <v>0</v>
      </c>
      <c r="M16" s="35">
        <f t="shared" si="5"/>
        <v>0</v>
      </c>
      <c r="N16" s="3">
        <v>13</v>
      </c>
      <c r="O16" s="35">
        <f t="shared" si="6"/>
        <v>92.504565436503896</v>
      </c>
      <c r="P16" s="35">
        <f t="shared" si="7"/>
        <v>1.0377866167686114</v>
      </c>
      <c r="Q16" s="48">
        <f t="shared" si="8"/>
        <v>66.509930613962965</v>
      </c>
      <c r="S16" s="30" t="s">
        <v>45</v>
      </c>
      <c r="T16" s="30">
        <v>124</v>
      </c>
      <c r="U16" s="30">
        <v>237665.96800000002</v>
      </c>
      <c r="V16" s="30"/>
      <c r="W16" s="30"/>
      <c r="X16" s="30"/>
    </row>
    <row r="17" spans="2:27" ht="15" thickBot="1" x14ac:dyDescent="0.35">
      <c r="B17" s="9">
        <v>42352</v>
      </c>
      <c r="C17" s="3" t="s">
        <v>10</v>
      </c>
      <c r="D17" s="3" t="s">
        <v>14</v>
      </c>
      <c r="E17" s="3" t="s">
        <v>29</v>
      </c>
      <c r="F17" s="5" t="s">
        <v>13</v>
      </c>
      <c r="G17" s="25">
        <v>169</v>
      </c>
      <c r="H17" s="3">
        <f t="shared" si="0"/>
        <v>1</v>
      </c>
      <c r="I17" s="3">
        <f t="shared" si="1"/>
        <v>0</v>
      </c>
      <c r="J17" s="3">
        <f t="shared" si="2"/>
        <v>0</v>
      </c>
      <c r="K17" s="3">
        <f t="shared" si="3"/>
        <v>0</v>
      </c>
      <c r="L17" s="3">
        <f t="shared" si="4"/>
        <v>1</v>
      </c>
      <c r="M17" s="35">
        <f t="shared" si="5"/>
        <v>0</v>
      </c>
      <c r="N17" s="3">
        <v>14</v>
      </c>
      <c r="O17" s="35">
        <f t="shared" si="6"/>
        <v>171.92509941985648</v>
      </c>
      <c r="P17" s="35">
        <f t="shared" si="7"/>
        <v>0.98298619904989482</v>
      </c>
      <c r="Q17" s="48">
        <f t="shared" si="8"/>
        <v>181.41414064687436</v>
      </c>
    </row>
    <row r="18" spans="2:27" x14ac:dyDescent="0.3">
      <c r="B18" s="9">
        <v>42353</v>
      </c>
      <c r="C18" s="3" t="s">
        <v>4</v>
      </c>
      <c r="D18" s="3" t="s">
        <v>26</v>
      </c>
      <c r="E18" s="3" t="s">
        <v>15</v>
      </c>
      <c r="F18" s="5" t="s">
        <v>13</v>
      </c>
      <c r="G18" s="25">
        <v>117</v>
      </c>
      <c r="H18" s="3">
        <f t="shared" si="0"/>
        <v>0</v>
      </c>
      <c r="I18" s="3">
        <f t="shared" si="1"/>
        <v>0</v>
      </c>
      <c r="J18" s="3">
        <f t="shared" si="2"/>
        <v>0</v>
      </c>
      <c r="K18" s="3">
        <f t="shared" si="3"/>
        <v>0</v>
      </c>
      <c r="L18" s="3">
        <f t="shared" si="4"/>
        <v>0</v>
      </c>
      <c r="M18" s="35">
        <f t="shared" si="5"/>
        <v>0</v>
      </c>
      <c r="N18" s="3">
        <v>15</v>
      </c>
      <c r="O18" s="35">
        <f t="shared" si="6"/>
        <v>93.668653555838887</v>
      </c>
      <c r="P18" s="35">
        <f t="shared" si="7"/>
        <v>1.2490838242940319</v>
      </c>
      <c r="Q18" s="48">
        <f t="shared" si="8"/>
        <v>101.47172186837277</v>
      </c>
      <c r="S18" s="31"/>
      <c r="T18" s="31" t="s">
        <v>52</v>
      </c>
      <c r="U18" s="31" t="s">
        <v>40</v>
      </c>
      <c r="V18" s="31" t="s">
        <v>53</v>
      </c>
      <c r="W18" s="31" t="s">
        <v>54</v>
      </c>
      <c r="X18" s="31" t="s">
        <v>55</v>
      </c>
      <c r="Y18" s="31" t="s">
        <v>56</v>
      </c>
      <c r="Z18" s="31" t="s">
        <v>86</v>
      </c>
      <c r="AA18" s="31" t="s">
        <v>87</v>
      </c>
    </row>
    <row r="19" spans="2:27" x14ac:dyDescent="0.3">
      <c r="B19" s="9">
        <v>42354</v>
      </c>
      <c r="C19" s="3" t="s">
        <v>5</v>
      </c>
      <c r="D19" s="3" t="s">
        <v>11</v>
      </c>
      <c r="E19" s="3" t="s">
        <v>15</v>
      </c>
      <c r="F19" s="5" t="s">
        <v>13</v>
      </c>
      <c r="G19" s="25">
        <v>155</v>
      </c>
      <c r="H19" s="3">
        <f t="shared" si="0"/>
        <v>0</v>
      </c>
      <c r="I19" s="3">
        <f t="shared" si="1"/>
        <v>0</v>
      </c>
      <c r="J19" s="3">
        <f t="shared" si="2"/>
        <v>1</v>
      </c>
      <c r="K19" s="3">
        <f t="shared" si="3"/>
        <v>0</v>
      </c>
      <c r="L19" s="3">
        <f t="shared" si="4"/>
        <v>0</v>
      </c>
      <c r="M19" s="35">
        <f t="shared" si="5"/>
        <v>0</v>
      </c>
      <c r="N19" s="3">
        <v>16</v>
      </c>
      <c r="O19" s="35">
        <f t="shared" si="6"/>
        <v>136.01533769970243</v>
      </c>
      <c r="P19" s="35">
        <f t="shared" si="7"/>
        <v>1.1395773640044353</v>
      </c>
      <c r="Q19" s="48">
        <f t="shared" si="8"/>
        <v>157.34229812714437</v>
      </c>
      <c r="S19" s="29" t="s">
        <v>46</v>
      </c>
      <c r="T19" s="29">
        <v>84.937992660826438</v>
      </c>
      <c r="U19" s="29">
        <v>10.857956676540955</v>
      </c>
      <c r="V19" s="29">
        <v>7.8226498033776775</v>
      </c>
      <c r="W19" s="29">
        <v>2.5347722051231582E-12</v>
      </c>
      <c r="X19" s="29">
        <v>63.434378434162475</v>
      </c>
      <c r="Y19" s="29">
        <v>106.44160688749039</v>
      </c>
      <c r="Z19" s="29">
        <v>63.434378434162475</v>
      </c>
      <c r="AA19" s="29">
        <v>106.44160688749039</v>
      </c>
    </row>
    <row r="20" spans="2:27" x14ac:dyDescent="0.3">
      <c r="B20" s="9">
        <v>42355</v>
      </c>
      <c r="C20" s="3" t="s">
        <v>6</v>
      </c>
      <c r="D20" s="3" t="s">
        <v>14</v>
      </c>
      <c r="E20" s="3" t="s">
        <v>29</v>
      </c>
      <c r="F20" s="5" t="s">
        <v>13</v>
      </c>
      <c r="G20" s="25">
        <v>182</v>
      </c>
      <c r="H20" s="3">
        <f t="shared" si="0"/>
        <v>1</v>
      </c>
      <c r="I20" s="3">
        <f t="shared" si="1"/>
        <v>0</v>
      </c>
      <c r="J20" s="3">
        <f t="shared" si="2"/>
        <v>0</v>
      </c>
      <c r="K20" s="3">
        <f t="shared" si="3"/>
        <v>0</v>
      </c>
      <c r="L20" s="3">
        <f t="shared" si="4"/>
        <v>1</v>
      </c>
      <c r="M20" s="35">
        <f t="shared" si="5"/>
        <v>0</v>
      </c>
      <c r="N20" s="3">
        <v>17</v>
      </c>
      <c r="O20" s="35">
        <f t="shared" si="6"/>
        <v>173.67123159885895</v>
      </c>
      <c r="P20" s="35">
        <f t="shared" si="7"/>
        <v>1.0479570987345712</v>
      </c>
      <c r="Q20" s="48">
        <f t="shared" si="8"/>
        <v>185.47752825393994</v>
      </c>
      <c r="S20" s="29" t="s">
        <v>32</v>
      </c>
      <c r="T20" s="29">
        <v>44.01005637225591</v>
      </c>
      <c r="U20" s="29">
        <v>9.3116062683536835</v>
      </c>
      <c r="V20" s="29">
        <v>4.7263656885738365</v>
      </c>
      <c r="W20" s="29">
        <v>6.4230795520730091E-6</v>
      </c>
      <c r="X20" s="29">
        <v>25.56890809820953</v>
      </c>
      <c r="Y20" s="29">
        <v>62.451204646302287</v>
      </c>
      <c r="Z20" s="29">
        <v>25.56890809820953</v>
      </c>
      <c r="AA20" s="29">
        <v>62.451204646302287</v>
      </c>
    </row>
    <row r="21" spans="2:27" x14ac:dyDescent="0.3">
      <c r="B21" s="9">
        <v>42356</v>
      </c>
      <c r="C21" s="3" t="s">
        <v>7</v>
      </c>
      <c r="D21" s="3" t="s">
        <v>11</v>
      </c>
      <c r="E21" s="3" t="s">
        <v>15</v>
      </c>
      <c r="F21" s="5" t="s">
        <v>13</v>
      </c>
      <c r="G21" s="25">
        <v>142</v>
      </c>
      <c r="H21" s="3">
        <f t="shared" si="0"/>
        <v>0</v>
      </c>
      <c r="I21" s="3">
        <f t="shared" si="1"/>
        <v>0</v>
      </c>
      <c r="J21" s="3">
        <f t="shared" si="2"/>
        <v>1</v>
      </c>
      <c r="K21" s="3">
        <f t="shared" si="3"/>
        <v>0</v>
      </c>
      <c r="L21" s="3">
        <f t="shared" si="4"/>
        <v>0</v>
      </c>
      <c r="M21" s="35">
        <f t="shared" si="5"/>
        <v>0</v>
      </c>
      <c r="N21" s="3">
        <v>18</v>
      </c>
      <c r="O21" s="35">
        <f t="shared" si="6"/>
        <v>137.17942581903742</v>
      </c>
      <c r="P21" s="35">
        <f t="shared" si="7"/>
        <v>1.0351406499347922</v>
      </c>
      <c r="Q21" s="48">
        <f t="shared" si="8"/>
        <v>144.7305881024875</v>
      </c>
      <c r="S21" s="29" t="s">
        <v>16</v>
      </c>
      <c r="T21" s="29">
        <v>39.288370883857873</v>
      </c>
      <c r="U21" s="29">
        <v>7.5248418949118516</v>
      </c>
      <c r="V21" s="29">
        <v>5.221155664469693</v>
      </c>
      <c r="W21" s="29">
        <v>7.8164273732065881E-7</v>
      </c>
      <c r="X21" s="29">
        <v>24.385815822607423</v>
      </c>
      <c r="Y21" s="29">
        <v>54.190925945108319</v>
      </c>
      <c r="Z21" s="29">
        <v>24.385815822607423</v>
      </c>
      <c r="AA21" s="29">
        <v>54.190925945108319</v>
      </c>
    </row>
    <row r="22" spans="2:27" x14ac:dyDescent="0.3">
      <c r="B22" s="9">
        <v>42357</v>
      </c>
      <c r="C22" s="3" t="s">
        <v>8</v>
      </c>
      <c r="D22" s="3" t="s">
        <v>11</v>
      </c>
      <c r="E22" s="3" t="s">
        <v>12</v>
      </c>
      <c r="F22" s="5" t="s">
        <v>13</v>
      </c>
      <c r="G22" s="25">
        <v>125</v>
      </c>
      <c r="H22" s="3">
        <f t="shared" si="0"/>
        <v>0</v>
      </c>
      <c r="I22" s="3">
        <f t="shared" si="1"/>
        <v>0</v>
      </c>
      <c r="J22" s="3">
        <f t="shared" si="2"/>
        <v>1</v>
      </c>
      <c r="K22" s="3">
        <f t="shared" si="3"/>
        <v>0</v>
      </c>
      <c r="L22" s="3">
        <f t="shared" si="4"/>
        <v>0</v>
      </c>
      <c r="M22" s="35">
        <f t="shared" si="5"/>
        <v>0</v>
      </c>
      <c r="N22" s="3">
        <v>19</v>
      </c>
      <c r="O22" s="35">
        <f t="shared" si="6"/>
        <v>137.7614698787049</v>
      </c>
      <c r="P22" s="35">
        <f t="shared" si="7"/>
        <v>0.90736546372551763</v>
      </c>
      <c r="Q22" s="48">
        <f t="shared" si="8"/>
        <v>122.53008264379069</v>
      </c>
      <c r="S22" s="29" t="s">
        <v>11</v>
      </c>
      <c r="T22" s="29">
        <v>41.764640084196031</v>
      </c>
      <c r="U22" s="29">
        <v>10.24989786373609</v>
      </c>
      <c r="V22" s="29">
        <v>4.0746396344063482</v>
      </c>
      <c r="W22" s="29">
        <v>8.4269350763609417E-5</v>
      </c>
      <c r="X22" s="29">
        <v>21.465254473209743</v>
      </c>
      <c r="Y22" s="29">
        <v>62.064025695182323</v>
      </c>
      <c r="Z22" s="29">
        <v>21.465254473209743</v>
      </c>
      <c r="AA22" s="29">
        <v>62.064025695182323</v>
      </c>
    </row>
    <row r="23" spans="2:27" x14ac:dyDescent="0.3">
      <c r="B23" s="9">
        <v>42358</v>
      </c>
      <c r="C23" s="3" t="s">
        <v>9</v>
      </c>
      <c r="D23" s="3" t="s">
        <v>11</v>
      </c>
      <c r="E23" s="3" t="s">
        <v>12</v>
      </c>
      <c r="F23" s="5" t="s">
        <v>13</v>
      </c>
      <c r="G23" s="25">
        <v>109</v>
      </c>
      <c r="H23" s="3">
        <f t="shared" si="0"/>
        <v>0</v>
      </c>
      <c r="I23" s="3">
        <f t="shared" si="1"/>
        <v>0</v>
      </c>
      <c r="J23" s="3">
        <f t="shared" si="2"/>
        <v>1</v>
      </c>
      <c r="K23" s="3">
        <f t="shared" si="3"/>
        <v>0</v>
      </c>
      <c r="L23" s="3">
        <f t="shared" si="4"/>
        <v>0</v>
      </c>
      <c r="M23" s="35">
        <f t="shared" si="5"/>
        <v>0</v>
      </c>
      <c r="N23" s="3">
        <v>20</v>
      </c>
      <c r="O23" s="35">
        <f t="shared" si="6"/>
        <v>138.34351393837241</v>
      </c>
      <c r="P23" s="35">
        <f t="shared" si="7"/>
        <v>0.78789382239167349</v>
      </c>
      <c r="Q23" s="48">
        <f t="shared" si="8"/>
        <v>99.467712426029181</v>
      </c>
      <c r="S23" s="29" t="s">
        <v>31</v>
      </c>
      <c r="T23" s="29">
        <v>-68.82986450376373</v>
      </c>
      <c r="U23" s="29">
        <v>20.653225775876194</v>
      </c>
      <c r="V23" s="29">
        <v>-3.3326447524802543</v>
      </c>
      <c r="W23" s="29">
        <v>1.1521083783146606E-3</v>
      </c>
      <c r="X23" s="29">
        <v>-109.73249589666392</v>
      </c>
      <c r="Y23" s="29">
        <v>-27.927233110863547</v>
      </c>
      <c r="Z23" s="29">
        <v>-109.73249589666392</v>
      </c>
      <c r="AA23" s="29">
        <v>-27.927233110863547</v>
      </c>
    </row>
    <row r="24" spans="2:27" x14ac:dyDescent="0.3">
      <c r="B24" s="9">
        <v>42359</v>
      </c>
      <c r="C24" s="3" t="s">
        <v>10</v>
      </c>
      <c r="D24" s="3" t="s">
        <v>14</v>
      </c>
      <c r="E24" s="3" t="s">
        <v>15</v>
      </c>
      <c r="F24" s="5" t="s">
        <v>13</v>
      </c>
      <c r="G24" s="25">
        <v>141</v>
      </c>
      <c r="H24" s="3">
        <f t="shared" si="0"/>
        <v>0</v>
      </c>
      <c r="I24" s="3">
        <f t="shared" si="1"/>
        <v>0</v>
      </c>
      <c r="J24" s="3">
        <f t="shared" si="2"/>
        <v>0</v>
      </c>
      <c r="K24" s="3">
        <f t="shared" si="3"/>
        <v>0</v>
      </c>
      <c r="L24" s="3">
        <f t="shared" si="4"/>
        <v>1</v>
      </c>
      <c r="M24" s="35">
        <f t="shared" si="5"/>
        <v>0</v>
      </c>
      <c r="N24" s="3">
        <v>21</v>
      </c>
      <c r="O24" s="35">
        <f t="shared" si="6"/>
        <v>131.98935146527305</v>
      </c>
      <c r="P24" s="35">
        <f t="shared" si="7"/>
        <v>1.0682679961276853</v>
      </c>
      <c r="Q24" s="48">
        <f t="shared" si="8"/>
        <v>139.27422378355351</v>
      </c>
      <c r="S24" s="29" t="s">
        <v>14</v>
      </c>
      <c r="T24" s="29">
        <v>34.828433551429164</v>
      </c>
      <c r="U24" s="29">
        <v>11.001166195447068</v>
      </c>
      <c r="V24" s="29">
        <v>3.1658855918241855</v>
      </c>
      <c r="W24" s="29">
        <v>1.9715421249924497E-3</v>
      </c>
      <c r="X24" s="29">
        <v>13.041200376938985</v>
      </c>
      <c r="Y24" s="29">
        <v>56.61566672591934</v>
      </c>
      <c r="Z24" s="29">
        <v>13.041200376938985</v>
      </c>
      <c r="AA24" s="29">
        <v>56.61566672591934</v>
      </c>
    </row>
    <row r="25" spans="2:27" x14ac:dyDescent="0.3">
      <c r="B25" s="9">
        <v>42360</v>
      </c>
      <c r="C25" s="3" t="s">
        <v>4</v>
      </c>
      <c r="D25" s="3" t="s">
        <v>14</v>
      </c>
      <c r="E25" s="3" t="s">
        <v>16</v>
      </c>
      <c r="F25" s="5" t="s">
        <v>13</v>
      </c>
      <c r="G25" s="25">
        <v>180</v>
      </c>
      <c r="H25" s="3">
        <f t="shared" si="0"/>
        <v>0</v>
      </c>
      <c r="I25" s="3">
        <f t="shared" si="1"/>
        <v>1</v>
      </c>
      <c r="J25" s="3">
        <f t="shared" si="2"/>
        <v>0</v>
      </c>
      <c r="K25" s="3">
        <f t="shared" si="3"/>
        <v>0</v>
      </c>
      <c r="L25" s="3">
        <f t="shared" si="4"/>
        <v>1</v>
      </c>
      <c r="M25" s="35">
        <f t="shared" si="5"/>
        <v>0</v>
      </c>
      <c r="N25" s="3">
        <v>22</v>
      </c>
      <c r="O25" s="35">
        <f t="shared" si="6"/>
        <v>171.85976640879841</v>
      </c>
      <c r="P25" s="35">
        <f t="shared" si="7"/>
        <v>1.0473655571708309</v>
      </c>
      <c r="Q25" s="48">
        <f t="shared" si="8"/>
        <v>186.17654631921462</v>
      </c>
      <c r="S25" s="29" t="s">
        <v>33</v>
      </c>
      <c r="T25" s="29">
        <v>-63.583221923364761</v>
      </c>
      <c r="U25" s="29">
        <v>9.8921816468881758</v>
      </c>
      <c r="V25" s="29">
        <v>-6.4276237733024644</v>
      </c>
      <c r="W25" s="29">
        <v>2.9226315783504475E-9</v>
      </c>
      <c r="X25" s="29">
        <v>-83.17416931168448</v>
      </c>
      <c r="Y25" s="29">
        <v>-43.992274535045041</v>
      </c>
      <c r="Z25" s="29">
        <v>-83.17416931168448</v>
      </c>
      <c r="AA25" s="29">
        <v>-43.992274535045041</v>
      </c>
    </row>
    <row r="26" spans="2:27" ht="15" thickBot="1" x14ac:dyDescent="0.35">
      <c r="B26" s="9">
        <v>42361</v>
      </c>
      <c r="C26" s="3" t="s">
        <v>5</v>
      </c>
      <c r="D26" s="3" t="s">
        <v>14</v>
      </c>
      <c r="E26" s="3" t="s">
        <v>29</v>
      </c>
      <c r="F26" s="5" t="s">
        <v>13</v>
      </c>
      <c r="G26" s="25">
        <v>192</v>
      </c>
      <c r="H26" s="3">
        <f t="shared" si="0"/>
        <v>1</v>
      </c>
      <c r="I26" s="3">
        <f t="shared" si="1"/>
        <v>0</v>
      </c>
      <c r="J26" s="3">
        <f t="shared" si="2"/>
        <v>0</v>
      </c>
      <c r="K26" s="3">
        <f t="shared" si="3"/>
        <v>0</v>
      </c>
      <c r="L26" s="3">
        <f t="shared" si="4"/>
        <v>1</v>
      </c>
      <c r="M26" s="35">
        <f t="shared" si="5"/>
        <v>0</v>
      </c>
      <c r="N26" s="3">
        <v>23</v>
      </c>
      <c r="O26" s="35">
        <f t="shared" si="6"/>
        <v>177.16349595686395</v>
      </c>
      <c r="P26" s="35">
        <f t="shared" si="7"/>
        <v>1.0837447012602892</v>
      </c>
      <c r="Q26" s="48">
        <f t="shared" si="8"/>
        <v>204.9424136242321</v>
      </c>
      <c r="S26" s="30" t="s">
        <v>34</v>
      </c>
      <c r="T26" s="30">
        <v>0.58204405966749706</v>
      </c>
      <c r="U26" s="30">
        <v>7.9812858513670301E-2</v>
      </c>
      <c r="V26" s="30">
        <v>7.2926101195561728</v>
      </c>
      <c r="W26" s="30">
        <v>3.9102200055703276E-11</v>
      </c>
      <c r="X26" s="30">
        <v>0.42397887568004045</v>
      </c>
      <c r="Y26" s="30">
        <v>0.74010924365495367</v>
      </c>
      <c r="Z26" s="30">
        <v>0.42397887568004045</v>
      </c>
      <c r="AA26" s="30">
        <v>0.74010924365495367</v>
      </c>
    </row>
    <row r="27" spans="2:27" x14ac:dyDescent="0.3">
      <c r="B27" s="9">
        <v>42362</v>
      </c>
      <c r="C27" s="3" t="s">
        <v>6</v>
      </c>
      <c r="D27" s="3" t="s">
        <v>26</v>
      </c>
      <c r="E27" s="3" t="s">
        <v>29</v>
      </c>
      <c r="F27" s="5" t="s">
        <v>13</v>
      </c>
      <c r="G27" s="25">
        <v>138</v>
      </c>
      <c r="H27" s="3">
        <f t="shared" si="0"/>
        <v>1</v>
      </c>
      <c r="I27" s="3">
        <f t="shared" si="1"/>
        <v>0</v>
      </c>
      <c r="J27" s="3">
        <f t="shared" si="2"/>
        <v>0</v>
      </c>
      <c r="K27" s="3">
        <f t="shared" si="3"/>
        <v>0</v>
      </c>
      <c r="L27" s="3">
        <f t="shared" si="4"/>
        <v>0</v>
      </c>
      <c r="M27" s="35">
        <f t="shared" si="5"/>
        <v>0</v>
      </c>
      <c r="N27" s="3">
        <v>24</v>
      </c>
      <c r="O27" s="35">
        <f t="shared" si="6"/>
        <v>142.91710646510228</v>
      </c>
      <c r="P27" s="35">
        <f t="shared" si="7"/>
        <v>0.96559469620732252</v>
      </c>
      <c r="Q27" s="48">
        <f t="shared" si="8"/>
        <v>152.63271532259066</v>
      </c>
    </row>
    <row r="28" spans="2:27" x14ac:dyDescent="0.3">
      <c r="B28" s="9">
        <v>42363</v>
      </c>
      <c r="C28" s="3" t="s">
        <v>7</v>
      </c>
      <c r="D28" s="3" t="s">
        <v>26</v>
      </c>
      <c r="E28" s="3" t="s">
        <v>16</v>
      </c>
      <c r="F28" s="5" t="s">
        <v>30</v>
      </c>
      <c r="G28" s="25">
        <v>102</v>
      </c>
      <c r="H28" s="3">
        <f t="shared" si="0"/>
        <v>0</v>
      </c>
      <c r="I28" s="3">
        <f t="shared" si="1"/>
        <v>1</v>
      </c>
      <c r="J28" s="3">
        <f t="shared" si="2"/>
        <v>0</v>
      </c>
      <c r="K28" s="3">
        <f t="shared" si="3"/>
        <v>0</v>
      </c>
      <c r="L28" s="3">
        <f t="shared" si="4"/>
        <v>0</v>
      </c>
      <c r="M28" s="35">
        <f t="shared" si="5"/>
        <v>1</v>
      </c>
      <c r="N28" s="3">
        <v>25</v>
      </c>
      <c r="O28" s="35">
        <f t="shared" si="6"/>
        <v>75.194243113006991</v>
      </c>
      <c r="P28" s="35">
        <f t="shared" si="7"/>
        <v>1.3564868236881846</v>
      </c>
      <c r="Q28" s="48">
        <f t="shared" si="8"/>
        <v>79.333376435204599</v>
      </c>
    </row>
    <row r="29" spans="2:27" x14ac:dyDescent="0.3">
      <c r="B29" s="9">
        <v>42364</v>
      </c>
      <c r="C29" s="3" t="s">
        <v>8</v>
      </c>
      <c r="D29" s="3" t="s">
        <v>14</v>
      </c>
      <c r="E29" s="3" t="s">
        <v>15</v>
      </c>
      <c r="F29" s="5" t="s">
        <v>13</v>
      </c>
      <c r="G29" s="25">
        <v>123</v>
      </c>
      <c r="H29" s="3">
        <f t="shared" si="0"/>
        <v>0</v>
      </c>
      <c r="I29" s="3">
        <f t="shared" si="1"/>
        <v>0</v>
      </c>
      <c r="J29" s="3">
        <f t="shared" si="2"/>
        <v>0</v>
      </c>
      <c r="K29" s="3">
        <f t="shared" si="3"/>
        <v>0</v>
      </c>
      <c r="L29" s="3">
        <f t="shared" si="4"/>
        <v>1</v>
      </c>
      <c r="M29" s="35">
        <f t="shared" si="5"/>
        <v>0</v>
      </c>
      <c r="N29" s="3">
        <v>26</v>
      </c>
      <c r="O29" s="35">
        <f t="shared" si="6"/>
        <v>134.89957176361051</v>
      </c>
      <c r="P29" s="35">
        <f t="shared" si="7"/>
        <v>0.91178940297555156</v>
      </c>
      <c r="Q29" s="48">
        <f t="shared" si="8"/>
        <v>119.98460593779025</v>
      </c>
    </row>
    <row r="30" spans="2:27" x14ac:dyDescent="0.3">
      <c r="B30" s="9">
        <v>42365</v>
      </c>
      <c r="C30" s="3" t="s">
        <v>9</v>
      </c>
      <c r="D30" s="3" t="s">
        <v>14</v>
      </c>
      <c r="E30" s="3" t="s">
        <v>29</v>
      </c>
      <c r="F30" s="5" t="s">
        <v>13</v>
      </c>
      <c r="G30" s="25">
        <v>119</v>
      </c>
      <c r="H30" s="3">
        <f t="shared" si="0"/>
        <v>1</v>
      </c>
      <c r="I30" s="3">
        <f t="shared" si="1"/>
        <v>0</v>
      </c>
      <c r="J30" s="3">
        <f t="shared" si="2"/>
        <v>0</v>
      </c>
      <c r="K30" s="3">
        <f t="shared" si="3"/>
        <v>0</v>
      </c>
      <c r="L30" s="3">
        <f t="shared" si="4"/>
        <v>1</v>
      </c>
      <c r="M30" s="35">
        <f t="shared" si="5"/>
        <v>0</v>
      </c>
      <c r="N30" s="3">
        <v>27</v>
      </c>
      <c r="O30" s="35">
        <f t="shared" si="6"/>
        <v>179.49167219553394</v>
      </c>
      <c r="P30" s="35">
        <f t="shared" si="7"/>
        <v>0.66298340499254049</v>
      </c>
      <c r="Q30" s="48">
        <f t="shared" si="8"/>
        <v>129.0528592526982</v>
      </c>
      <c r="S30" s="33"/>
    </row>
    <row r="31" spans="2:27" ht="15" thickBot="1" x14ac:dyDescent="0.35">
      <c r="B31" s="9">
        <v>42366</v>
      </c>
      <c r="C31" s="3" t="s">
        <v>10</v>
      </c>
      <c r="D31" s="3" t="s">
        <v>11</v>
      </c>
      <c r="E31" s="3" t="s">
        <v>15</v>
      </c>
      <c r="F31" s="5" t="s">
        <v>13</v>
      </c>
      <c r="G31" s="25">
        <v>146</v>
      </c>
      <c r="H31" s="3">
        <f t="shared" si="0"/>
        <v>0</v>
      </c>
      <c r="I31" s="3">
        <f t="shared" si="1"/>
        <v>0</v>
      </c>
      <c r="J31" s="3">
        <f t="shared" si="2"/>
        <v>1</v>
      </c>
      <c r="K31" s="3">
        <f t="shared" si="3"/>
        <v>0</v>
      </c>
      <c r="L31" s="3">
        <f t="shared" si="4"/>
        <v>0</v>
      </c>
      <c r="M31" s="35">
        <f t="shared" si="5"/>
        <v>0</v>
      </c>
      <c r="N31" s="3">
        <v>28</v>
      </c>
      <c r="O31" s="35">
        <f t="shared" si="6"/>
        <v>142.99986641571238</v>
      </c>
      <c r="P31" s="35">
        <f t="shared" si="7"/>
        <v>1.0209799747334447</v>
      </c>
      <c r="Q31" s="48">
        <f t="shared" si="8"/>
        <v>150.89244075451208</v>
      </c>
      <c r="S31" s="34" t="s">
        <v>65</v>
      </c>
      <c r="T31" s="34" t="s">
        <v>64</v>
      </c>
      <c r="V31" s="39" t="s">
        <v>71</v>
      </c>
      <c r="W31" s="39" t="s">
        <v>72</v>
      </c>
    </row>
    <row r="32" spans="2:27" x14ac:dyDescent="0.3">
      <c r="B32" s="9">
        <v>42367</v>
      </c>
      <c r="C32" s="3" t="s">
        <v>4</v>
      </c>
      <c r="D32" s="3" t="s">
        <v>11</v>
      </c>
      <c r="E32" s="3" t="s">
        <v>29</v>
      </c>
      <c r="F32" s="5" t="s">
        <v>13</v>
      </c>
      <c r="G32" s="25">
        <v>208</v>
      </c>
      <c r="H32" s="3">
        <f t="shared" si="0"/>
        <v>1</v>
      </c>
      <c r="I32" s="3">
        <f t="shared" si="1"/>
        <v>0</v>
      </c>
      <c r="J32" s="3">
        <f t="shared" si="2"/>
        <v>1</v>
      </c>
      <c r="K32" s="3">
        <f t="shared" si="3"/>
        <v>0</v>
      </c>
      <c r="L32" s="3">
        <f t="shared" si="4"/>
        <v>0</v>
      </c>
      <c r="M32" s="35">
        <f t="shared" si="5"/>
        <v>0</v>
      </c>
      <c r="N32" s="3">
        <v>29</v>
      </c>
      <c r="O32" s="35">
        <f t="shared" si="6"/>
        <v>187.5919668476358</v>
      </c>
      <c r="P32" s="35">
        <f t="shared" si="7"/>
        <v>1.1087894833414687</v>
      </c>
      <c r="Q32" s="48">
        <f t="shared" si="8"/>
        <v>203.21931790507446</v>
      </c>
      <c r="S32" s="3" t="s">
        <v>4</v>
      </c>
      <c r="T32" s="35">
        <f>SUMIF($C$4:$C$128,$S$32,$P$4:$P$128)/COUNTIF($C$4:$C$128,$S$32)</f>
        <v>1.0833050120431402</v>
      </c>
      <c r="V32" s="40" t="s">
        <v>59</v>
      </c>
      <c r="W32" s="41">
        <f>SUMXMY2($G$4:$G$128,$O$4:$O$128)/COUNT($G$4:$G$128)</f>
        <v>866.72763761555484</v>
      </c>
    </row>
    <row r="33" spans="2:23" ht="15" thickBot="1" x14ac:dyDescent="0.35">
      <c r="B33" s="9">
        <v>42368</v>
      </c>
      <c r="C33" s="3" t="s">
        <v>5</v>
      </c>
      <c r="D33" s="3" t="s">
        <v>11</v>
      </c>
      <c r="E33" s="3" t="s">
        <v>16</v>
      </c>
      <c r="F33" s="5" t="s">
        <v>13</v>
      </c>
      <c r="G33" s="25">
        <v>205</v>
      </c>
      <c r="H33" s="3">
        <f t="shared" si="0"/>
        <v>0</v>
      </c>
      <c r="I33" s="3">
        <f t="shared" si="1"/>
        <v>1</v>
      </c>
      <c r="J33" s="3">
        <f t="shared" si="2"/>
        <v>1</v>
      </c>
      <c r="K33" s="3">
        <f t="shared" si="3"/>
        <v>0</v>
      </c>
      <c r="L33" s="3">
        <f t="shared" si="4"/>
        <v>0</v>
      </c>
      <c r="M33" s="35">
        <f t="shared" si="5"/>
        <v>0</v>
      </c>
      <c r="N33" s="3">
        <v>30</v>
      </c>
      <c r="O33" s="35">
        <f t="shared" si="6"/>
        <v>183.45232541890528</v>
      </c>
      <c r="P33" s="35">
        <f t="shared" si="7"/>
        <v>1.1174565355434529</v>
      </c>
      <c r="Q33" s="48">
        <f t="shared" si="8"/>
        <v>212.21732024007207</v>
      </c>
      <c r="S33" s="3" t="s">
        <v>5</v>
      </c>
      <c r="T33" s="35">
        <f>SUMIF($C$4:$C$128,$S$33,$P$4:$P$128)/COUNTIF($C$4:$C$128,$S$33)</f>
        <v>1.1567982022331045</v>
      </c>
      <c r="V33" s="42" t="s">
        <v>67</v>
      </c>
      <c r="W33" s="43">
        <f>SUMXMY2($G$4:$G$128,$Q$4:$Q$128)/COUNT($G$4:$G$128)</f>
        <v>275.50836988654413</v>
      </c>
    </row>
    <row r="34" spans="2:23" x14ac:dyDescent="0.3">
      <c r="B34" s="9">
        <v>42369</v>
      </c>
      <c r="C34" s="3" t="s">
        <v>6</v>
      </c>
      <c r="D34" s="3" t="s">
        <v>11</v>
      </c>
      <c r="E34" s="3" t="s">
        <v>29</v>
      </c>
      <c r="F34" s="5" t="s">
        <v>30</v>
      </c>
      <c r="G34" s="25">
        <v>127</v>
      </c>
      <c r="H34" s="3">
        <f t="shared" si="0"/>
        <v>1</v>
      </c>
      <c r="I34" s="3">
        <f t="shared" si="1"/>
        <v>0</v>
      </c>
      <c r="J34" s="3">
        <f t="shared" si="2"/>
        <v>1</v>
      </c>
      <c r="K34" s="3">
        <f t="shared" si="3"/>
        <v>0</v>
      </c>
      <c r="L34" s="3">
        <f t="shared" si="4"/>
        <v>0</v>
      </c>
      <c r="M34" s="35">
        <f t="shared" si="5"/>
        <v>1</v>
      </c>
      <c r="N34" s="3">
        <v>31</v>
      </c>
      <c r="O34" s="35">
        <f t="shared" si="6"/>
        <v>125.17283304360603</v>
      </c>
      <c r="P34" s="35">
        <f t="shared" si="7"/>
        <v>1.0145971526885347</v>
      </c>
      <c r="Q34" s="48">
        <f t="shared" si="8"/>
        <v>133.68217328645744</v>
      </c>
      <c r="S34" s="3" t="s">
        <v>6</v>
      </c>
      <c r="T34" s="35">
        <f>SUMIF($C$4:$C$128,$S$34,$P$4:$P$128)/COUNTIF($C$4:$C$128,$S$34)</f>
        <v>1.0679807274146063</v>
      </c>
    </row>
    <row r="35" spans="2:23" x14ac:dyDescent="0.3">
      <c r="B35" s="9">
        <v>42370</v>
      </c>
      <c r="C35" s="3" t="s">
        <v>7</v>
      </c>
      <c r="D35" s="3" t="s">
        <v>11</v>
      </c>
      <c r="E35" s="3" t="s">
        <v>15</v>
      </c>
      <c r="F35" s="5" t="s">
        <v>30</v>
      </c>
      <c r="G35" s="25">
        <v>105</v>
      </c>
      <c r="H35" s="3">
        <f t="shared" si="0"/>
        <v>0</v>
      </c>
      <c r="I35" s="3">
        <f t="shared" si="1"/>
        <v>0</v>
      </c>
      <c r="J35" s="3">
        <f t="shared" si="2"/>
        <v>1</v>
      </c>
      <c r="K35" s="3">
        <f t="shared" si="3"/>
        <v>0</v>
      </c>
      <c r="L35" s="3">
        <f t="shared" si="4"/>
        <v>0</v>
      </c>
      <c r="M35" s="35">
        <f t="shared" si="5"/>
        <v>1</v>
      </c>
      <c r="N35" s="3">
        <v>32</v>
      </c>
      <c r="O35" s="35">
        <f t="shared" si="6"/>
        <v>81.744820731017612</v>
      </c>
      <c r="P35" s="35">
        <f t="shared" si="7"/>
        <v>1.2844850482393724</v>
      </c>
      <c r="Q35" s="48">
        <f t="shared" si="8"/>
        <v>86.244536366113849</v>
      </c>
      <c r="S35" s="3" t="s">
        <v>7</v>
      </c>
      <c r="T35" s="35">
        <f>SUMIF($C$4:$C$128,$S$35,$P$4:$P$128)/COUNTIF($C$4:$C$128,$S$35)</f>
        <v>1.0550458805200957</v>
      </c>
    </row>
    <row r="36" spans="2:23" x14ac:dyDescent="0.3">
      <c r="B36" s="9">
        <v>42371</v>
      </c>
      <c r="C36" s="3" t="s">
        <v>8</v>
      </c>
      <c r="D36" s="3" t="s">
        <v>11</v>
      </c>
      <c r="E36" s="3" t="s">
        <v>12</v>
      </c>
      <c r="F36" s="5" t="s">
        <v>13</v>
      </c>
      <c r="G36" s="25">
        <v>125</v>
      </c>
      <c r="H36" s="3">
        <f t="shared" ref="H36:H67" si="9">IF(E36=$H$3,1,0)</f>
        <v>0</v>
      </c>
      <c r="I36" s="3">
        <f t="shared" ref="I36:I67" si="10">IF(E36=$I$3,1,0)</f>
        <v>0</v>
      </c>
      <c r="J36" s="3">
        <f t="shared" ref="J36:J67" si="11">IF(D36=J$3,1,0)</f>
        <v>1</v>
      </c>
      <c r="K36" s="3">
        <f t="shared" ref="K36:K67" si="12">IF(D36=K$3,1,0)</f>
        <v>0</v>
      </c>
      <c r="L36" s="3">
        <f t="shared" ref="L36:L67" si="13">IF(D36=L$3,1,0)</f>
        <v>0</v>
      </c>
      <c r="M36" s="35">
        <f t="shared" ref="M36:M67" si="14">IF(F36="Yes",1,0)</f>
        <v>0</v>
      </c>
      <c r="N36" s="3">
        <v>33</v>
      </c>
      <c r="O36" s="35">
        <f t="shared" si="6"/>
        <v>145.91008671404987</v>
      </c>
      <c r="P36" s="35">
        <f t="shared" si="7"/>
        <v>0.85669197253628659</v>
      </c>
      <c r="Q36" s="48">
        <f t="shared" si="8"/>
        <v>129.77776006147874</v>
      </c>
      <c r="S36" s="3" t="s">
        <v>8</v>
      </c>
      <c r="T36" s="35">
        <f>SUMIF($C$4:$C$128,$S$36,$P$4:$P$128)/COUNTIF($C$4:$C$128,$S$36)</f>
        <v>0.88943652206727308</v>
      </c>
    </row>
    <row r="37" spans="2:23" x14ac:dyDescent="0.3">
      <c r="B37" s="9">
        <v>42372</v>
      </c>
      <c r="C37" s="3" t="s">
        <v>9</v>
      </c>
      <c r="D37" s="3" t="s">
        <v>11</v>
      </c>
      <c r="E37" s="3" t="s">
        <v>15</v>
      </c>
      <c r="F37" s="5" t="s">
        <v>13</v>
      </c>
      <c r="G37" s="25">
        <v>109</v>
      </c>
      <c r="H37" s="3">
        <f t="shared" si="9"/>
        <v>0</v>
      </c>
      <c r="I37" s="3">
        <f t="shared" si="10"/>
        <v>0</v>
      </c>
      <c r="J37" s="3">
        <f t="shared" si="11"/>
        <v>1</v>
      </c>
      <c r="K37" s="3">
        <f t="shared" si="12"/>
        <v>0</v>
      </c>
      <c r="L37" s="3">
        <f t="shared" si="13"/>
        <v>0</v>
      </c>
      <c r="M37" s="35">
        <f t="shared" si="14"/>
        <v>0</v>
      </c>
      <c r="N37" s="3">
        <v>34</v>
      </c>
      <c r="O37" s="35">
        <f t="shared" si="6"/>
        <v>146.49213077371738</v>
      </c>
      <c r="P37" s="35">
        <f t="shared" si="7"/>
        <v>0.74406727121997762</v>
      </c>
      <c r="Q37" s="48">
        <f t="shared" si="8"/>
        <v>105.32649288471447</v>
      </c>
      <c r="S37" s="3" t="s">
        <v>9</v>
      </c>
      <c r="T37" s="35">
        <f>SUMIF($C$4:$C$128,$S$37,$P$4:$P$128)/COUNTIF($C$4:$C$128,$S$37)</f>
        <v>0.71899079034770541</v>
      </c>
    </row>
    <row r="38" spans="2:23" x14ac:dyDescent="0.3">
      <c r="B38" s="9">
        <v>42373</v>
      </c>
      <c r="C38" s="3" t="s">
        <v>10</v>
      </c>
      <c r="D38" s="3" t="s">
        <v>11</v>
      </c>
      <c r="E38" s="3" t="s">
        <v>15</v>
      </c>
      <c r="F38" s="5" t="s">
        <v>13</v>
      </c>
      <c r="G38" s="25">
        <v>151</v>
      </c>
      <c r="H38" s="3">
        <f t="shared" si="9"/>
        <v>0</v>
      </c>
      <c r="I38" s="3">
        <f t="shared" si="10"/>
        <v>0</v>
      </c>
      <c r="J38" s="3">
        <f t="shared" si="11"/>
        <v>1</v>
      </c>
      <c r="K38" s="3">
        <f t="shared" si="12"/>
        <v>0</v>
      </c>
      <c r="L38" s="3">
        <f t="shared" si="13"/>
        <v>0</v>
      </c>
      <c r="M38" s="35">
        <f t="shared" si="14"/>
        <v>0</v>
      </c>
      <c r="N38" s="3">
        <v>35</v>
      </c>
      <c r="O38" s="35">
        <f t="shared" si="6"/>
        <v>147.07417483338486</v>
      </c>
      <c r="P38" s="35">
        <f t="shared" si="7"/>
        <v>1.026692824699255</v>
      </c>
      <c r="Q38" s="48">
        <f t="shared" si="8"/>
        <v>155.19162198410871</v>
      </c>
      <c r="S38" s="3" t="s">
        <v>10</v>
      </c>
      <c r="T38" s="35">
        <f>SUMIF($C$4:$C$128,$S$38,$P$4:$P$128)/COUNTIF($C$4:$C$128,$S$38)</f>
        <v>1.0551928791028051</v>
      </c>
      <c r="U38">
        <v>1</v>
      </c>
      <c r="V38" s="33" t="str">
        <f>_xlfn.CONCAT("Significance of F value is ",IF(X14&lt;0.05,"less","greater")," than 0.05 which means model is ",IF(X14&lt;0.05,"good fit","not good fit"))</f>
        <v>Significance of F value is less than 0.05 which means model is good fit</v>
      </c>
    </row>
    <row r="39" spans="2:23" x14ac:dyDescent="0.3">
      <c r="B39" s="9">
        <v>42374</v>
      </c>
      <c r="C39" s="3" t="s">
        <v>4</v>
      </c>
      <c r="D39" s="3" t="s">
        <v>11</v>
      </c>
      <c r="E39" s="3" t="s">
        <v>12</v>
      </c>
      <c r="F39" s="5" t="s">
        <v>13</v>
      </c>
      <c r="G39" s="25">
        <v>157</v>
      </c>
      <c r="H39" s="3">
        <f t="shared" si="9"/>
        <v>0</v>
      </c>
      <c r="I39" s="3">
        <f t="shared" si="10"/>
        <v>0</v>
      </c>
      <c r="J39" s="3">
        <f t="shared" si="11"/>
        <v>1</v>
      </c>
      <c r="K39" s="3">
        <f t="shared" si="12"/>
        <v>0</v>
      </c>
      <c r="L39" s="3">
        <f t="shared" si="13"/>
        <v>0</v>
      </c>
      <c r="M39" s="35">
        <f t="shared" si="14"/>
        <v>0</v>
      </c>
      <c r="N39" s="3">
        <v>36</v>
      </c>
      <c r="O39" s="35">
        <f t="shared" si="6"/>
        <v>147.65621889305237</v>
      </c>
      <c r="P39" s="35">
        <f t="shared" si="7"/>
        <v>1.0632806472832366</v>
      </c>
      <c r="Q39" s="48">
        <f t="shared" si="8"/>
        <v>159.95672198618266</v>
      </c>
      <c r="U39">
        <v>2</v>
      </c>
      <c r="V39" s="33" t="s">
        <v>84</v>
      </c>
    </row>
    <row r="40" spans="2:23" x14ac:dyDescent="0.3">
      <c r="B40" s="9">
        <v>42375</v>
      </c>
      <c r="C40" s="3" t="s">
        <v>5</v>
      </c>
      <c r="D40" s="3" t="s">
        <v>11</v>
      </c>
      <c r="E40" s="3" t="s">
        <v>12</v>
      </c>
      <c r="F40" s="5" t="s">
        <v>13</v>
      </c>
      <c r="G40" s="25">
        <v>172</v>
      </c>
      <c r="H40" s="3">
        <f t="shared" si="9"/>
        <v>0</v>
      </c>
      <c r="I40" s="3">
        <f t="shared" si="10"/>
        <v>0</v>
      </c>
      <c r="J40" s="3">
        <f t="shared" si="11"/>
        <v>1</v>
      </c>
      <c r="K40" s="3">
        <f t="shared" si="12"/>
        <v>0</v>
      </c>
      <c r="L40" s="3">
        <f t="shared" si="13"/>
        <v>0</v>
      </c>
      <c r="M40" s="35">
        <f t="shared" si="14"/>
        <v>0</v>
      </c>
      <c r="N40" s="3">
        <v>37</v>
      </c>
      <c r="O40" s="35">
        <f t="shared" si="6"/>
        <v>148.23826295271985</v>
      </c>
      <c r="P40" s="35">
        <f t="shared" si="7"/>
        <v>1.1602942221122685</v>
      </c>
      <c r="Q40" s="48">
        <f t="shared" si="8"/>
        <v>171.48175608586453</v>
      </c>
      <c r="V40" s="29" t="s">
        <v>32</v>
      </c>
    </row>
    <row r="41" spans="2:23" x14ac:dyDescent="0.3">
      <c r="B41" s="9">
        <v>42376</v>
      </c>
      <c r="C41" s="3" t="s">
        <v>6</v>
      </c>
      <c r="D41" s="3" t="s">
        <v>11</v>
      </c>
      <c r="E41" s="3" t="s">
        <v>12</v>
      </c>
      <c r="F41" s="5" t="s">
        <v>13</v>
      </c>
      <c r="G41" s="25">
        <v>163</v>
      </c>
      <c r="H41" s="3">
        <f t="shared" si="9"/>
        <v>0</v>
      </c>
      <c r="I41" s="3">
        <f t="shared" si="10"/>
        <v>0</v>
      </c>
      <c r="J41" s="3">
        <f t="shared" si="11"/>
        <v>1</v>
      </c>
      <c r="K41" s="3">
        <f t="shared" si="12"/>
        <v>0</v>
      </c>
      <c r="L41" s="3">
        <f t="shared" si="13"/>
        <v>0</v>
      </c>
      <c r="M41" s="35">
        <f t="shared" si="14"/>
        <v>0</v>
      </c>
      <c r="N41" s="3">
        <v>38</v>
      </c>
      <c r="O41" s="35">
        <f t="shared" si="6"/>
        <v>148.82030701238736</v>
      </c>
      <c r="P41" s="35">
        <f t="shared" si="7"/>
        <v>1.0952806325445381</v>
      </c>
      <c r="Q41" s="48">
        <f t="shared" si="8"/>
        <v>158.93721973715449</v>
      </c>
      <c r="V41" s="29" t="s">
        <v>16</v>
      </c>
    </row>
    <row r="42" spans="2:23" x14ac:dyDescent="0.3">
      <c r="B42" s="9">
        <v>42377</v>
      </c>
      <c r="C42" s="3" t="s">
        <v>7</v>
      </c>
      <c r="D42" s="3" t="s">
        <v>11</v>
      </c>
      <c r="E42" s="3" t="s">
        <v>15</v>
      </c>
      <c r="F42" s="5" t="s">
        <v>13</v>
      </c>
      <c r="G42" s="25">
        <v>154</v>
      </c>
      <c r="H42" s="3">
        <f t="shared" si="9"/>
        <v>0</v>
      </c>
      <c r="I42" s="3">
        <f t="shared" si="10"/>
        <v>0</v>
      </c>
      <c r="J42" s="3">
        <f t="shared" si="11"/>
        <v>1</v>
      </c>
      <c r="K42" s="3">
        <f t="shared" si="12"/>
        <v>0</v>
      </c>
      <c r="L42" s="3">
        <f t="shared" si="13"/>
        <v>0</v>
      </c>
      <c r="M42" s="35">
        <f t="shared" si="14"/>
        <v>0</v>
      </c>
      <c r="N42" s="3">
        <v>39</v>
      </c>
      <c r="O42" s="35">
        <f t="shared" si="6"/>
        <v>149.40235107205484</v>
      </c>
      <c r="P42" s="35">
        <f t="shared" si="7"/>
        <v>1.030773604932949</v>
      </c>
      <c r="Q42" s="48">
        <f t="shared" si="8"/>
        <v>157.62633503858856</v>
      </c>
      <c r="V42" s="29" t="s">
        <v>11</v>
      </c>
    </row>
    <row r="43" spans="2:23" x14ac:dyDescent="0.3">
      <c r="B43" s="9">
        <v>42378</v>
      </c>
      <c r="C43" s="3" t="s">
        <v>8</v>
      </c>
      <c r="D43" s="3" t="s">
        <v>11</v>
      </c>
      <c r="E43" s="3" t="s">
        <v>15</v>
      </c>
      <c r="F43" s="5" t="s">
        <v>13</v>
      </c>
      <c r="G43" s="25">
        <v>130</v>
      </c>
      <c r="H43" s="3">
        <f t="shared" si="9"/>
        <v>0</v>
      </c>
      <c r="I43" s="3">
        <f t="shared" si="10"/>
        <v>0</v>
      </c>
      <c r="J43" s="3">
        <f t="shared" si="11"/>
        <v>1</v>
      </c>
      <c r="K43" s="3">
        <f t="shared" si="12"/>
        <v>0</v>
      </c>
      <c r="L43" s="3">
        <f t="shared" si="13"/>
        <v>0</v>
      </c>
      <c r="M43" s="35">
        <f t="shared" si="14"/>
        <v>0</v>
      </c>
      <c r="N43" s="3">
        <v>40</v>
      </c>
      <c r="O43" s="35">
        <f t="shared" si="6"/>
        <v>149.98439513172235</v>
      </c>
      <c r="P43" s="35">
        <f t="shared" si="7"/>
        <v>0.86675683750852051</v>
      </c>
      <c r="Q43" s="48">
        <f t="shared" si="8"/>
        <v>133.40159877032278</v>
      </c>
      <c r="V43" s="29" t="s">
        <v>14</v>
      </c>
    </row>
    <row r="44" spans="2:23" ht="15" thickBot="1" x14ac:dyDescent="0.35">
      <c r="B44" s="9">
        <v>42379</v>
      </c>
      <c r="C44" s="3" t="s">
        <v>9</v>
      </c>
      <c r="D44" s="3" t="s">
        <v>14</v>
      </c>
      <c r="E44" s="3" t="s">
        <v>16</v>
      </c>
      <c r="F44" s="5" t="s">
        <v>13</v>
      </c>
      <c r="G44" s="25">
        <v>117</v>
      </c>
      <c r="H44" s="3">
        <f t="shared" si="9"/>
        <v>0</v>
      </c>
      <c r="I44" s="3">
        <f t="shared" si="10"/>
        <v>1</v>
      </c>
      <c r="J44" s="3">
        <f t="shared" si="11"/>
        <v>0</v>
      </c>
      <c r="K44" s="3">
        <f t="shared" si="12"/>
        <v>0</v>
      </c>
      <c r="L44" s="3">
        <f t="shared" si="13"/>
        <v>1</v>
      </c>
      <c r="M44" s="35">
        <f t="shared" si="14"/>
        <v>0</v>
      </c>
      <c r="N44" s="3">
        <v>41</v>
      </c>
      <c r="O44" s="35">
        <f t="shared" si="6"/>
        <v>182.91860354248087</v>
      </c>
      <c r="P44" s="35">
        <f t="shared" si="7"/>
        <v>0.63962876237915312</v>
      </c>
      <c r="Q44" s="48">
        <f t="shared" si="8"/>
        <v>131.51679133030692</v>
      </c>
      <c r="V44" s="30" t="s">
        <v>34</v>
      </c>
    </row>
    <row r="45" spans="2:23" x14ac:dyDescent="0.3">
      <c r="B45" s="9">
        <v>42380</v>
      </c>
      <c r="C45" s="3" t="s">
        <v>10</v>
      </c>
      <c r="D45" s="3" t="s">
        <v>11</v>
      </c>
      <c r="E45" s="3" t="s">
        <v>12</v>
      </c>
      <c r="F45" s="5" t="s">
        <v>13</v>
      </c>
      <c r="G45" s="25">
        <v>153</v>
      </c>
      <c r="H45" s="3">
        <f t="shared" si="9"/>
        <v>0</v>
      </c>
      <c r="I45" s="3">
        <f t="shared" si="10"/>
        <v>0</v>
      </c>
      <c r="J45" s="3">
        <f t="shared" si="11"/>
        <v>1</v>
      </c>
      <c r="K45" s="3">
        <f t="shared" si="12"/>
        <v>0</v>
      </c>
      <c r="L45" s="3">
        <f t="shared" si="13"/>
        <v>0</v>
      </c>
      <c r="M45" s="35">
        <f t="shared" si="14"/>
        <v>0</v>
      </c>
      <c r="N45" s="3">
        <v>42</v>
      </c>
      <c r="O45" s="35">
        <f t="shared" si="6"/>
        <v>151.14848325105734</v>
      </c>
      <c r="P45" s="35">
        <f t="shared" si="7"/>
        <v>1.0122496548368751</v>
      </c>
      <c r="Q45" s="48">
        <f t="shared" si="8"/>
        <v>159.49080321370531</v>
      </c>
      <c r="U45">
        <v>3</v>
      </c>
      <c r="V45" s="44" t="s">
        <v>85</v>
      </c>
    </row>
    <row r="46" spans="2:23" x14ac:dyDescent="0.3">
      <c r="B46" s="9">
        <v>42381</v>
      </c>
      <c r="C46" s="3" t="s">
        <v>4</v>
      </c>
      <c r="D46" s="3" t="s">
        <v>11</v>
      </c>
      <c r="E46" s="3" t="s">
        <v>15</v>
      </c>
      <c r="F46" s="5" t="s">
        <v>13</v>
      </c>
      <c r="G46" s="25">
        <v>162</v>
      </c>
      <c r="H46" s="3">
        <f t="shared" si="9"/>
        <v>0</v>
      </c>
      <c r="I46" s="3">
        <f t="shared" si="10"/>
        <v>0</v>
      </c>
      <c r="J46" s="3">
        <f t="shared" si="11"/>
        <v>1</v>
      </c>
      <c r="K46" s="3">
        <f t="shared" si="12"/>
        <v>0</v>
      </c>
      <c r="L46" s="3">
        <f t="shared" si="13"/>
        <v>0</v>
      </c>
      <c r="M46" s="35">
        <f t="shared" si="14"/>
        <v>0</v>
      </c>
      <c r="N46" s="3">
        <v>43</v>
      </c>
      <c r="O46" s="35">
        <f t="shared" si="6"/>
        <v>151.73052731072485</v>
      </c>
      <c r="P46" s="35">
        <f t="shared" si="7"/>
        <v>1.0676823106812552</v>
      </c>
      <c r="Q46" s="48">
        <f t="shared" si="8"/>
        <v>164.3704407156568</v>
      </c>
      <c r="U46">
        <v>4</v>
      </c>
      <c r="V46" s="33" t="str">
        <f>_xlfn.CONCAT("Adjusted R square is ",ROUND(T8,3))</f>
        <v>Adjusted R square is 0.517</v>
      </c>
    </row>
    <row r="47" spans="2:23" x14ac:dyDescent="0.3">
      <c r="B47" s="9">
        <v>42382</v>
      </c>
      <c r="C47" s="3" t="s">
        <v>5</v>
      </c>
      <c r="D47" s="3" t="s">
        <v>11</v>
      </c>
      <c r="E47" s="3" t="s">
        <v>12</v>
      </c>
      <c r="F47" s="5" t="s">
        <v>13</v>
      </c>
      <c r="G47" s="25">
        <v>172</v>
      </c>
      <c r="H47" s="3">
        <f t="shared" si="9"/>
        <v>0</v>
      </c>
      <c r="I47" s="3">
        <f t="shared" si="10"/>
        <v>0</v>
      </c>
      <c r="J47" s="3">
        <f t="shared" si="11"/>
        <v>1</v>
      </c>
      <c r="K47" s="3">
        <f t="shared" si="12"/>
        <v>0</v>
      </c>
      <c r="L47" s="3">
        <f t="shared" si="13"/>
        <v>0</v>
      </c>
      <c r="M47" s="35">
        <f t="shared" si="14"/>
        <v>0</v>
      </c>
      <c r="N47" s="3">
        <v>44</v>
      </c>
      <c r="O47" s="35">
        <f t="shared" si="6"/>
        <v>152.31257137039233</v>
      </c>
      <c r="P47" s="35">
        <f t="shared" si="7"/>
        <v>1.1292567543996874</v>
      </c>
      <c r="Q47" s="48">
        <f t="shared" si="8"/>
        <v>176.19490873877126</v>
      </c>
    </row>
    <row r="48" spans="2:23" x14ac:dyDescent="0.3">
      <c r="B48" s="9">
        <v>42383</v>
      </c>
      <c r="C48" s="3" t="s">
        <v>6</v>
      </c>
      <c r="D48" s="3" t="s">
        <v>11</v>
      </c>
      <c r="E48" s="3" t="s">
        <v>15</v>
      </c>
      <c r="F48" s="5" t="s">
        <v>13</v>
      </c>
      <c r="G48" s="25">
        <v>172</v>
      </c>
      <c r="H48" s="3">
        <f t="shared" si="9"/>
        <v>0</v>
      </c>
      <c r="I48" s="3">
        <f t="shared" si="10"/>
        <v>0</v>
      </c>
      <c r="J48" s="3">
        <f t="shared" si="11"/>
        <v>1</v>
      </c>
      <c r="K48" s="3">
        <f t="shared" si="12"/>
        <v>0</v>
      </c>
      <c r="L48" s="3">
        <f t="shared" si="13"/>
        <v>0</v>
      </c>
      <c r="M48" s="35">
        <f t="shared" si="14"/>
        <v>0</v>
      </c>
      <c r="N48" s="3">
        <v>45</v>
      </c>
      <c r="O48" s="35">
        <f t="shared" si="6"/>
        <v>152.89461543005984</v>
      </c>
      <c r="P48" s="35">
        <f t="shared" si="7"/>
        <v>1.1249578640568918</v>
      </c>
      <c r="Q48" s="48">
        <f t="shared" si="8"/>
        <v>163.28850260477179</v>
      </c>
    </row>
    <row r="49" spans="2:17" x14ac:dyDescent="0.3">
      <c r="B49" s="9">
        <v>42384</v>
      </c>
      <c r="C49" s="3" t="s">
        <v>7</v>
      </c>
      <c r="D49" s="3" t="s">
        <v>11</v>
      </c>
      <c r="E49" s="3" t="s">
        <v>15</v>
      </c>
      <c r="F49" s="5" t="s">
        <v>13</v>
      </c>
      <c r="G49" s="25">
        <v>165</v>
      </c>
      <c r="H49" s="3">
        <f t="shared" si="9"/>
        <v>0</v>
      </c>
      <c r="I49" s="3">
        <f t="shared" si="10"/>
        <v>0</v>
      </c>
      <c r="J49" s="3">
        <f t="shared" si="11"/>
        <v>1</v>
      </c>
      <c r="K49" s="3">
        <f t="shared" si="12"/>
        <v>0</v>
      </c>
      <c r="L49" s="3">
        <f t="shared" si="13"/>
        <v>0</v>
      </c>
      <c r="M49" s="35">
        <f t="shared" si="14"/>
        <v>0</v>
      </c>
      <c r="N49" s="3">
        <v>46</v>
      </c>
      <c r="O49" s="35">
        <f t="shared" si="6"/>
        <v>153.47665948972733</v>
      </c>
      <c r="P49" s="35">
        <f t="shared" si="7"/>
        <v>1.0750820388493272</v>
      </c>
      <c r="Q49" s="48">
        <f t="shared" si="8"/>
        <v>161.92491735062228</v>
      </c>
    </row>
    <row r="50" spans="2:17" x14ac:dyDescent="0.3">
      <c r="B50" s="9">
        <v>42385</v>
      </c>
      <c r="C50" s="3" t="s">
        <v>8</v>
      </c>
      <c r="D50" s="3" t="s">
        <v>11</v>
      </c>
      <c r="E50" s="3" t="s">
        <v>16</v>
      </c>
      <c r="F50" s="5" t="s">
        <v>13</v>
      </c>
      <c r="G50" s="25">
        <v>162</v>
      </c>
      <c r="H50" s="3">
        <f t="shared" si="9"/>
        <v>0</v>
      </c>
      <c r="I50" s="3">
        <f t="shared" si="10"/>
        <v>1</v>
      </c>
      <c r="J50" s="3">
        <f t="shared" si="11"/>
        <v>1</v>
      </c>
      <c r="K50" s="3">
        <f t="shared" si="12"/>
        <v>0</v>
      </c>
      <c r="L50" s="3">
        <f t="shared" si="13"/>
        <v>0</v>
      </c>
      <c r="M50" s="35">
        <f t="shared" si="14"/>
        <v>0</v>
      </c>
      <c r="N50" s="3">
        <v>47</v>
      </c>
      <c r="O50" s="35">
        <f t="shared" si="6"/>
        <v>193.34707443325271</v>
      </c>
      <c r="P50" s="35">
        <f t="shared" si="7"/>
        <v>0.83787148305637094</v>
      </c>
      <c r="Q50" s="48">
        <f t="shared" si="8"/>
        <v>171.96994943579446</v>
      </c>
    </row>
    <row r="51" spans="2:17" x14ac:dyDescent="0.3">
      <c r="B51" s="9">
        <v>42386</v>
      </c>
      <c r="C51" s="3" t="s">
        <v>9</v>
      </c>
      <c r="D51" s="3" t="s">
        <v>11</v>
      </c>
      <c r="E51" s="3" t="s">
        <v>15</v>
      </c>
      <c r="F51" s="5" t="s">
        <v>13</v>
      </c>
      <c r="G51" s="25">
        <v>106</v>
      </c>
      <c r="H51" s="3">
        <f t="shared" si="9"/>
        <v>0</v>
      </c>
      <c r="I51" s="3">
        <f t="shared" si="10"/>
        <v>0</v>
      </c>
      <c r="J51" s="3">
        <f t="shared" si="11"/>
        <v>1</v>
      </c>
      <c r="K51" s="3">
        <f t="shared" si="12"/>
        <v>0</v>
      </c>
      <c r="L51" s="3">
        <f t="shared" si="13"/>
        <v>0</v>
      </c>
      <c r="M51" s="35">
        <f t="shared" si="14"/>
        <v>0</v>
      </c>
      <c r="N51" s="3">
        <v>48</v>
      </c>
      <c r="O51" s="35">
        <f t="shared" si="6"/>
        <v>154.64074760906232</v>
      </c>
      <c r="P51" s="35">
        <f t="shared" si="7"/>
        <v>0.68545969700025011</v>
      </c>
      <c r="Q51" s="48">
        <f t="shared" si="8"/>
        <v>111.18527334339976</v>
      </c>
    </row>
    <row r="52" spans="2:17" x14ac:dyDescent="0.3">
      <c r="B52" s="9">
        <v>42387</v>
      </c>
      <c r="C52" s="3" t="s">
        <v>10</v>
      </c>
      <c r="D52" s="3" t="s">
        <v>11</v>
      </c>
      <c r="E52" s="3" t="s">
        <v>12</v>
      </c>
      <c r="F52" s="5" t="s">
        <v>30</v>
      </c>
      <c r="G52" s="25">
        <v>113</v>
      </c>
      <c r="H52" s="3">
        <f t="shared" si="9"/>
        <v>0</v>
      </c>
      <c r="I52" s="3">
        <f t="shared" si="10"/>
        <v>0</v>
      </c>
      <c r="J52" s="3">
        <f t="shared" si="11"/>
        <v>1</v>
      </c>
      <c r="K52" s="3">
        <f t="shared" si="12"/>
        <v>0</v>
      </c>
      <c r="L52" s="3">
        <f t="shared" si="13"/>
        <v>0</v>
      </c>
      <c r="M52" s="35">
        <f t="shared" si="14"/>
        <v>1</v>
      </c>
      <c r="N52" s="3">
        <v>49</v>
      </c>
      <c r="O52" s="35">
        <f t="shared" si="6"/>
        <v>91.639569745365066</v>
      </c>
      <c r="P52" s="35">
        <f t="shared" si="7"/>
        <v>1.2330917780822002</v>
      </c>
      <c r="Q52" s="48">
        <f t="shared" si="8"/>
        <v>96.697421439354073</v>
      </c>
    </row>
    <row r="53" spans="2:17" x14ac:dyDescent="0.3">
      <c r="B53" s="9">
        <v>42388</v>
      </c>
      <c r="C53" s="3" t="s">
        <v>4</v>
      </c>
      <c r="D53" s="3" t="s">
        <v>11</v>
      </c>
      <c r="E53" s="3" t="s">
        <v>12</v>
      </c>
      <c r="F53" s="5" t="s">
        <v>13</v>
      </c>
      <c r="G53" s="25">
        <v>169</v>
      </c>
      <c r="H53" s="3">
        <f t="shared" si="9"/>
        <v>0</v>
      </c>
      <c r="I53" s="3">
        <f t="shared" si="10"/>
        <v>0</v>
      </c>
      <c r="J53" s="3">
        <f t="shared" si="11"/>
        <v>1</v>
      </c>
      <c r="K53" s="3">
        <f t="shared" si="12"/>
        <v>0</v>
      </c>
      <c r="L53" s="3">
        <f t="shared" si="13"/>
        <v>0</v>
      </c>
      <c r="M53" s="35">
        <f t="shared" si="14"/>
        <v>0</v>
      </c>
      <c r="N53" s="3">
        <v>50</v>
      </c>
      <c r="O53" s="35">
        <f t="shared" si="6"/>
        <v>155.80483572839734</v>
      </c>
      <c r="P53" s="35">
        <f t="shared" si="7"/>
        <v>1.084690338460385</v>
      </c>
      <c r="Q53" s="48">
        <f t="shared" si="8"/>
        <v>168.78415944513097</v>
      </c>
    </row>
    <row r="54" spans="2:17" x14ac:dyDescent="0.3">
      <c r="B54" s="9">
        <v>42389</v>
      </c>
      <c r="C54" s="3" t="s">
        <v>5</v>
      </c>
      <c r="D54" s="3" t="s">
        <v>11</v>
      </c>
      <c r="E54" s="3" t="s">
        <v>15</v>
      </c>
      <c r="F54" s="5" t="s">
        <v>13</v>
      </c>
      <c r="G54" s="25">
        <v>184</v>
      </c>
      <c r="H54" s="3">
        <f t="shared" si="9"/>
        <v>0</v>
      </c>
      <c r="I54" s="3">
        <f t="shared" si="10"/>
        <v>0</v>
      </c>
      <c r="J54" s="3">
        <f t="shared" si="11"/>
        <v>1</v>
      </c>
      <c r="K54" s="3">
        <f t="shared" si="12"/>
        <v>0</v>
      </c>
      <c r="L54" s="3">
        <f t="shared" si="13"/>
        <v>0</v>
      </c>
      <c r="M54" s="35">
        <f t="shared" si="14"/>
        <v>0</v>
      </c>
      <c r="N54" s="3">
        <v>51</v>
      </c>
      <c r="O54" s="35">
        <f t="shared" si="6"/>
        <v>156.38687978806482</v>
      </c>
      <c r="P54" s="35">
        <f t="shared" si="7"/>
        <v>1.1765692892482824</v>
      </c>
      <c r="Q54" s="48">
        <f t="shared" si="8"/>
        <v>180.90806139167799</v>
      </c>
    </row>
    <row r="55" spans="2:17" x14ac:dyDescent="0.3">
      <c r="B55" s="9">
        <v>42390</v>
      </c>
      <c r="C55" s="3" t="s">
        <v>6</v>
      </c>
      <c r="D55" s="3" t="s">
        <v>11</v>
      </c>
      <c r="E55" s="3" t="s">
        <v>12</v>
      </c>
      <c r="F55" s="5" t="s">
        <v>13</v>
      </c>
      <c r="G55" s="25">
        <v>177</v>
      </c>
      <c r="H55" s="3">
        <f t="shared" si="9"/>
        <v>0</v>
      </c>
      <c r="I55" s="3">
        <f t="shared" si="10"/>
        <v>0</v>
      </c>
      <c r="J55" s="3">
        <f t="shared" si="11"/>
        <v>1</v>
      </c>
      <c r="K55" s="3">
        <f t="shared" si="12"/>
        <v>0</v>
      </c>
      <c r="L55" s="3">
        <f t="shared" si="13"/>
        <v>0</v>
      </c>
      <c r="M55" s="35">
        <f t="shared" si="14"/>
        <v>0</v>
      </c>
      <c r="N55" s="3">
        <v>52</v>
      </c>
      <c r="O55" s="35">
        <f t="shared" si="6"/>
        <v>156.96892384773233</v>
      </c>
      <c r="P55" s="35">
        <f t="shared" si="7"/>
        <v>1.1276117314258891</v>
      </c>
      <c r="Q55" s="48">
        <f t="shared" si="8"/>
        <v>167.63978547238909</v>
      </c>
    </row>
    <row r="56" spans="2:17" x14ac:dyDescent="0.3">
      <c r="B56" s="9">
        <v>42391</v>
      </c>
      <c r="C56" s="3" t="s">
        <v>7</v>
      </c>
      <c r="D56" s="3" t="s">
        <v>11</v>
      </c>
      <c r="E56" s="3" t="s">
        <v>12</v>
      </c>
      <c r="F56" s="5" t="s">
        <v>13</v>
      </c>
      <c r="G56" s="25">
        <v>169</v>
      </c>
      <c r="H56" s="3">
        <f t="shared" si="9"/>
        <v>0</v>
      </c>
      <c r="I56" s="3">
        <f t="shared" si="10"/>
        <v>0</v>
      </c>
      <c r="J56" s="3">
        <f t="shared" si="11"/>
        <v>1</v>
      </c>
      <c r="K56" s="3">
        <f t="shared" si="12"/>
        <v>0</v>
      </c>
      <c r="L56" s="3">
        <f t="shared" si="13"/>
        <v>0</v>
      </c>
      <c r="M56" s="35">
        <f t="shared" si="14"/>
        <v>0</v>
      </c>
      <c r="N56" s="3">
        <v>53</v>
      </c>
      <c r="O56" s="35">
        <f t="shared" si="6"/>
        <v>157.55096790739981</v>
      </c>
      <c r="P56" s="35">
        <f t="shared" si="7"/>
        <v>1.0726687512280428</v>
      </c>
      <c r="Q56" s="48">
        <f t="shared" si="8"/>
        <v>166.22349966265597</v>
      </c>
    </row>
    <row r="57" spans="2:17" x14ac:dyDescent="0.3">
      <c r="B57" s="9">
        <v>42392</v>
      </c>
      <c r="C57" s="3" t="s">
        <v>8</v>
      </c>
      <c r="D57" s="3" t="s">
        <v>11</v>
      </c>
      <c r="E57" s="3" t="s">
        <v>15</v>
      </c>
      <c r="F57" s="5" t="s">
        <v>13</v>
      </c>
      <c r="G57" s="25">
        <v>137</v>
      </c>
      <c r="H57" s="3">
        <f t="shared" si="9"/>
        <v>0</v>
      </c>
      <c r="I57" s="3">
        <f t="shared" si="10"/>
        <v>0</v>
      </c>
      <c r="J57" s="3">
        <f t="shared" si="11"/>
        <v>1</v>
      </c>
      <c r="K57" s="3">
        <f t="shared" si="12"/>
        <v>0</v>
      </c>
      <c r="L57" s="3">
        <f t="shared" si="13"/>
        <v>0</v>
      </c>
      <c r="M57" s="35">
        <f t="shared" si="14"/>
        <v>0</v>
      </c>
      <c r="N57" s="3">
        <v>54</v>
      </c>
      <c r="O57" s="35">
        <f t="shared" si="6"/>
        <v>158.13301196706732</v>
      </c>
      <c r="P57" s="35">
        <f t="shared" si="7"/>
        <v>0.86635926487336834</v>
      </c>
      <c r="Q57" s="48">
        <f t="shared" si="8"/>
        <v>140.64927618801082</v>
      </c>
    </row>
    <row r="58" spans="2:17" x14ac:dyDescent="0.3">
      <c r="B58" s="9">
        <v>42393</v>
      </c>
      <c r="C58" s="3" t="s">
        <v>9</v>
      </c>
      <c r="D58" s="3" t="s">
        <v>11</v>
      </c>
      <c r="E58" s="3" t="s">
        <v>12</v>
      </c>
      <c r="F58" s="5" t="s">
        <v>13</v>
      </c>
      <c r="G58" s="25">
        <v>116</v>
      </c>
      <c r="H58" s="3">
        <f t="shared" si="9"/>
        <v>0</v>
      </c>
      <c r="I58" s="3">
        <f t="shared" si="10"/>
        <v>0</v>
      </c>
      <c r="J58" s="3">
        <f t="shared" si="11"/>
        <v>1</v>
      </c>
      <c r="K58" s="3">
        <f t="shared" si="12"/>
        <v>0</v>
      </c>
      <c r="L58" s="3">
        <f t="shared" si="13"/>
        <v>0</v>
      </c>
      <c r="M58" s="35">
        <f t="shared" si="14"/>
        <v>0</v>
      </c>
      <c r="N58" s="3">
        <v>55</v>
      </c>
      <c r="O58" s="35">
        <f t="shared" si="6"/>
        <v>158.7150560267348</v>
      </c>
      <c r="P58" s="35">
        <f t="shared" si="7"/>
        <v>0.73086954006720284</v>
      </c>
      <c r="Q58" s="48">
        <f t="shared" si="8"/>
        <v>114.1146635727424</v>
      </c>
    </row>
    <row r="59" spans="2:17" x14ac:dyDescent="0.3">
      <c r="B59" s="9">
        <v>42394</v>
      </c>
      <c r="C59" s="3" t="s">
        <v>10</v>
      </c>
      <c r="D59" s="3" t="s">
        <v>11</v>
      </c>
      <c r="E59" s="3" t="s">
        <v>15</v>
      </c>
      <c r="F59" s="5" t="s">
        <v>13</v>
      </c>
      <c r="G59" s="25">
        <v>166</v>
      </c>
      <c r="H59" s="3">
        <f t="shared" si="9"/>
        <v>0</v>
      </c>
      <c r="I59" s="3">
        <f t="shared" si="10"/>
        <v>0</v>
      </c>
      <c r="J59" s="3">
        <f t="shared" si="11"/>
        <v>1</v>
      </c>
      <c r="K59" s="3">
        <f t="shared" si="12"/>
        <v>0</v>
      </c>
      <c r="L59" s="3">
        <f t="shared" si="13"/>
        <v>0</v>
      </c>
      <c r="M59" s="35">
        <f t="shared" si="14"/>
        <v>0</v>
      </c>
      <c r="N59" s="3">
        <v>56</v>
      </c>
      <c r="O59" s="35">
        <f t="shared" si="6"/>
        <v>159.29710008640231</v>
      </c>
      <c r="P59" s="35">
        <f t="shared" si="7"/>
        <v>1.0420779782554865</v>
      </c>
      <c r="Q59" s="48">
        <f t="shared" si="8"/>
        <v>168.08916567289856</v>
      </c>
    </row>
    <row r="60" spans="2:17" x14ac:dyDescent="0.3">
      <c r="B60" s="9">
        <v>42395</v>
      </c>
      <c r="C60" s="3" t="s">
        <v>4</v>
      </c>
      <c r="D60" s="3" t="s">
        <v>14</v>
      </c>
      <c r="E60" s="3" t="s">
        <v>15</v>
      </c>
      <c r="F60" s="5" t="s">
        <v>13</v>
      </c>
      <c r="G60" s="25">
        <v>166</v>
      </c>
      <c r="H60" s="3">
        <f t="shared" si="9"/>
        <v>0</v>
      </c>
      <c r="I60" s="3">
        <f t="shared" si="10"/>
        <v>0</v>
      </c>
      <c r="J60" s="3">
        <f t="shared" si="11"/>
        <v>0</v>
      </c>
      <c r="K60" s="3">
        <f t="shared" si="12"/>
        <v>0</v>
      </c>
      <c r="L60" s="3">
        <f t="shared" si="13"/>
        <v>1</v>
      </c>
      <c r="M60" s="35">
        <f t="shared" si="14"/>
        <v>0</v>
      </c>
      <c r="N60" s="3">
        <v>57</v>
      </c>
      <c r="O60" s="35">
        <f t="shared" si="6"/>
        <v>152.94293761330295</v>
      </c>
      <c r="P60" s="35">
        <f t="shared" si="7"/>
        <v>1.0853721171467898</v>
      </c>
      <c r="Q60" s="48">
        <f t="shared" si="8"/>
        <v>165.68385087309238</v>
      </c>
    </row>
    <row r="61" spans="2:17" x14ac:dyDescent="0.3">
      <c r="B61" s="9">
        <v>42396</v>
      </c>
      <c r="C61" s="3" t="s">
        <v>5</v>
      </c>
      <c r="D61" s="3" t="s">
        <v>14</v>
      </c>
      <c r="E61" s="3" t="s">
        <v>15</v>
      </c>
      <c r="F61" s="5" t="s">
        <v>13</v>
      </c>
      <c r="G61" s="25">
        <v>174</v>
      </c>
      <c r="H61" s="3">
        <f t="shared" si="9"/>
        <v>0</v>
      </c>
      <c r="I61" s="3">
        <f t="shared" si="10"/>
        <v>0</v>
      </c>
      <c r="J61" s="3">
        <f t="shared" si="11"/>
        <v>0</v>
      </c>
      <c r="K61" s="3">
        <f t="shared" si="12"/>
        <v>0</v>
      </c>
      <c r="L61" s="3">
        <f t="shared" si="13"/>
        <v>1</v>
      </c>
      <c r="M61" s="35">
        <f t="shared" si="14"/>
        <v>0</v>
      </c>
      <c r="N61" s="3">
        <v>58</v>
      </c>
      <c r="O61" s="35">
        <f t="shared" si="6"/>
        <v>153.52498167297043</v>
      </c>
      <c r="P61" s="35">
        <f t="shared" si="7"/>
        <v>1.1333660366144462</v>
      </c>
      <c r="Q61" s="48">
        <f t="shared" si="8"/>
        <v>177.59742279716249</v>
      </c>
    </row>
    <row r="62" spans="2:17" x14ac:dyDescent="0.3">
      <c r="B62" s="9">
        <v>42397</v>
      </c>
      <c r="C62" s="3" t="s">
        <v>6</v>
      </c>
      <c r="D62" s="3" t="s">
        <v>11</v>
      </c>
      <c r="E62" s="3" t="s">
        <v>15</v>
      </c>
      <c r="F62" s="5" t="s">
        <v>13</v>
      </c>
      <c r="G62" s="25">
        <v>181</v>
      </c>
      <c r="H62" s="3">
        <f t="shared" si="9"/>
        <v>0</v>
      </c>
      <c r="I62" s="3">
        <f t="shared" si="10"/>
        <v>0</v>
      </c>
      <c r="J62" s="3">
        <f t="shared" si="11"/>
        <v>1</v>
      </c>
      <c r="K62" s="3">
        <f t="shared" si="12"/>
        <v>0</v>
      </c>
      <c r="L62" s="3">
        <f t="shared" si="13"/>
        <v>0</v>
      </c>
      <c r="M62" s="35">
        <f t="shared" si="14"/>
        <v>0</v>
      </c>
      <c r="N62" s="3">
        <v>59</v>
      </c>
      <c r="O62" s="35">
        <f t="shared" si="6"/>
        <v>161.04323226540481</v>
      </c>
      <c r="P62" s="35">
        <f t="shared" si="7"/>
        <v>1.1239218031944722</v>
      </c>
      <c r="Q62" s="48">
        <f t="shared" si="8"/>
        <v>171.99106834000642</v>
      </c>
    </row>
    <row r="63" spans="2:17" x14ac:dyDescent="0.3">
      <c r="B63" s="9">
        <v>42398</v>
      </c>
      <c r="C63" s="3" t="s">
        <v>7</v>
      </c>
      <c r="D63" s="3" t="s">
        <v>11</v>
      </c>
      <c r="E63" s="3" t="s">
        <v>15</v>
      </c>
      <c r="F63" s="5" t="s">
        <v>13</v>
      </c>
      <c r="G63" s="25">
        <v>176</v>
      </c>
      <c r="H63" s="3">
        <f t="shared" si="9"/>
        <v>0</v>
      </c>
      <c r="I63" s="3">
        <f t="shared" si="10"/>
        <v>0</v>
      </c>
      <c r="J63" s="3">
        <f t="shared" si="11"/>
        <v>1</v>
      </c>
      <c r="K63" s="3">
        <f t="shared" si="12"/>
        <v>0</v>
      </c>
      <c r="L63" s="3">
        <f t="shared" si="13"/>
        <v>0</v>
      </c>
      <c r="M63" s="35">
        <f t="shared" si="14"/>
        <v>0</v>
      </c>
      <c r="N63" s="3">
        <v>60</v>
      </c>
      <c r="O63" s="35">
        <f t="shared" si="6"/>
        <v>161.62527632507229</v>
      </c>
      <c r="P63" s="35">
        <f t="shared" si="7"/>
        <v>1.0889385868458856</v>
      </c>
      <c r="Q63" s="48">
        <f t="shared" si="8"/>
        <v>170.52208197468968</v>
      </c>
    </row>
    <row r="64" spans="2:17" x14ac:dyDescent="0.3">
      <c r="B64" s="9">
        <v>42399</v>
      </c>
      <c r="C64" s="3" t="s">
        <v>8</v>
      </c>
      <c r="D64" s="3" t="s">
        <v>11</v>
      </c>
      <c r="E64" s="3" t="s">
        <v>15</v>
      </c>
      <c r="F64" s="5" t="s">
        <v>13</v>
      </c>
      <c r="G64" s="25">
        <v>143</v>
      </c>
      <c r="H64" s="3">
        <f t="shared" si="9"/>
        <v>0</v>
      </c>
      <c r="I64" s="3">
        <f t="shared" si="10"/>
        <v>0</v>
      </c>
      <c r="J64" s="3">
        <f t="shared" si="11"/>
        <v>1</v>
      </c>
      <c r="K64" s="3">
        <f t="shared" si="12"/>
        <v>0</v>
      </c>
      <c r="L64" s="3">
        <f t="shared" si="13"/>
        <v>0</v>
      </c>
      <c r="M64" s="35">
        <f t="shared" si="14"/>
        <v>0</v>
      </c>
      <c r="N64" s="3">
        <v>61</v>
      </c>
      <c r="O64" s="35">
        <f t="shared" si="6"/>
        <v>162.20732038473977</v>
      </c>
      <c r="P64" s="35">
        <f t="shared" si="7"/>
        <v>0.88158783253935824</v>
      </c>
      <c r="Q64" s="48">
        <f t="shared" si="8"/>
        <v>144.27311489685482</v>
      </c>
    </row>
    <row r="65" spans="2:17" x14ac:dyDescent="0.3">
      <c r="B65" s="9">
        <v>42400</v>
      </c>
      <c r="C65" s="3" t="s">
        <v>9</v>
      </c>
      <c r="D65" s="3" t="s">
        <v>14</v>
      </c>
      <c r="E65" s="3" t="s">
        <v>15</v>
      </c>
      <c r="F65" s="5" t="s">
        <v>13</v>
      </c>
      <c r="G65" s="25">
        <v>114</v>
      </c>
      <c r="H65" s="3">
        <f t="shared" si="9"/>
        <v>0</v>
      </c>
      <c r="I65" s="3">
        <f t="shared" si="10"/>
        <v>0</v>
      </c>
      <c r="J65" s="3">
        <f t="shared" si="11"/>
        <v>0</v>
      </c>
      <c r="K65" s="3">
        <f t="shared" si="12"/>
        <v>0</v>
      </c>
      <c r="L65" s="3">
        <f t="shared" si="13"/>
        <v>1</v>
      </c>
      <c r="M65" s="35">
        <f t="shared" si="14"/>
        <v>0</v>
      </c>
      <c r="N65" s="3">
        <v>62</v>
      </c>
      <c r="O65" s="35">
        <f t="shared" si="6"/>
        <v>155.85315791164041</v>
      </c>
      <c r="P65" s="35">
        <f t="shared" si="7"/>
        <v>0.73145774861123636</v>
      </c>
      <c r="Q65" s="48">
        <f t="shared" si="8"/>
        <v>112.05698518507607</v>
      </c>
    </row>
    <row r="66" spans="2:17" x14ac:dyDescent="0.3">
      <c r="B66" s="9">
        <v>42401</v>
      </c>
      <c r="C66" s="3" t="s">
        <v>10</v>
      </c>
      <c r="D66" s="3" t="s">
        <v>26</v>
      </c>
      <c r="E66" s="3" t="s">
        <v>15</v>
      </c>
      <c r="F66" s="5" t="s">
        <v>13</v>
      </c>
      <c r="G66" s="25">
        <v>127</v>
      </c>
      <c r="H66" s="3">
        <f t="shared" si="9"/>
        <v>0</v>
      </c>
      <c r="I66" s="3">
        <f t="shared" si="10"/>
        <v>0</v>
      </c>
      <c r="J66" s="3">
        <f t="shared" si="11"/>
        <v>0</v>
      </c>
      <c r="K66" s="3">
        <f t="shared" si="12"/>
        <v>0</v>
      </c>
      <c r="L66" s="3">
        <f t="shared" si="13"/>
        <v>0</v>
      </c>
      <c r="M66" s="35">
        <f t="shared" si="14"/>
        <v>0</v>
      </c>
      <c r="N66" s="3">
        <v>63</v>
      </c>
      <c r="O66" s="35">
        <f t="shared" si="6"/>
        <v>121.60676841987876</v>
      </c>
      <c r="P66" s="35">
        <f t="shared" si="7"/>
        <v>1.0443497648214755</v>
      </c>
      <c r="Q66" s="48">
        <f t="shared" si="8"/>
        <v>128.31859608735996</v>
      </c>
    </row>
    <row r="67" spans="2:17" x14ac:dyDescent="0.3">
      <c r="B67" s="9">
        <v>42402</v>
      </c>
      <c r="C67" s="3" t="s">
        <v>4</v>
      </c>
      <c r="D67" s="3" t="s">
        <v>14</v>
      </c>
      <c r="E67" s="3" t="s">
        <v>15</v>
      </c>
      <c r="F67" s="5" t="s">
        <v>13</v>
      </c>
      <c r="G67" s="25">
        <v>168</v>
      </c>
      <c r="H67" s="3">
        <f t="shared" si="9"/>
        <v>0</v>
      </c>
      <c r="I67" s="3">
        <f t="shared" si="10"/>
        <v>0</v>
      </c>
      <c r="J67" s="3">
        <f t="shared" si="11"/>
        <v>0</v>
      </c>
      <c r="K67" s="3">
        <f t="shared" si="12"/>
        <v>0</v>
      </c>
      <c r="L67" s="3">
        <f t="shared" si="13"/>
        <v>1</v>
      </c>
      <c r="M67" s="35">
        <f t="shared" si="14"/>
        <v>0</v>
      </c>
      <c r="N67" s="3">
        <v>64</v>
      </c>
      <c r="O67" s="35">
        <f t="shared" si="6"/>
        <v>157.0172460309754</v>
      </c>
      <c r="P67" s="35">
        <f t="shared" si="7"/>
        <v>1.0699461635370804</v>
      </c>
      <c r="Q67" s="48">
        <f t="shared" si="8"/>
        <v>170.09756960256652</v>
      </c>
    </row>
    <row r="68" spans="2:17" x14ac:dyDescent="0.3">
      <c r="B68" s="9">
        <v>42403</v>
      </c>
      <c r="C68" s="3" t="s">
        <v>5</v>
      </c>
      <c r="D68" s="3" t="s">
        <v>14</v>
      </c>
      <c r="E68" s="3" t="s">
        <v>16</v>
      </c>
      <c r="F68" s="5" t="s">
        <v>13</v>
      </c>
      <c r="G68" s="25">
        <v>236</v>
      </c>
      <c r="H68" s="3">
        <f t="shared" ref="H68:H99" si="15">IF(E68=$H$3,1,0)</f>
        <v>0</v>
      </c>
      <c r="I68" s="3">
        <f t="shared" ref="I68:I99" si="16">IF(E68=$I$3,1,0)</f>
        <v>1</v>
      </c>
      <c r="J68" s="3">
        <f t="shared" ref="J68:J99" si="17">IF(D68=J$3,1,0)</f>
        <v>0</v>
      </c>
      <c r="K68" s="3">
        <f t="shared" ref="K68:K99" si="18">IF(D68=K$3,1,0)</f>
        <v>0</v>
      </c>
      <c r="L68" s="3">
        <f t="shared" ref="L68:L99" si="19">IF(D68=L$3,1,0)</f>
        <v>1</v>
      </c>
      <c r="M68" s="35">
        <f t="shared" ref="M68:M99" si="20">IF(F68="Yes",1,0)</f>
        <v>0</v>
      </c>
      <c r="N68" s="3">
        <v>65</v>
      </c>
      <c r="O68" s="35">
        <f t="shared" si="6"/>
        <v>196.88766097450079</v>
      </c>
      <c r="P68" s="35">
        <f t="shared" si="7"/>
        <v>1.1986530736965011</v>
      </c>
      <c r="Q68" s="48">
        <f t="shared" si="8"/>
        <v>227.75929225718349</v>
      </c>
    </row>
    <row r="69" spans="2:17" x14ac:dyDescent="0.3">
      <c r="B69" s="9">
        <v>42404</v>
      </c>
      <c r="C69" s="3" t="s">
        <v>6</v>
      </c>
      <c r="D69" s="3" t="s">
        <v>14</v>
      </c>
      <c r="E69" s="3" t="s">
        <v>15</v>
      </c>
      <c r="F69" s="5" t="s">
        <v>13</v>
      </c>
      <c r="G69" s="25">
        <v>173</v>
      </c>
      <c r="H69" s="3">
        <f t="shared" si="15"/>
        <v>0</v>
      </c>
      <c r="I69" s="3">
        <f t="shared" si="16"/>
        <v>0</v>
      </c>
      <c r="J69" s="3">
        <f t="shared" si="17"/>
        <v>0</v>
      </c>
      <c r="K69" s="3">
        <f t="shared" si="18"/>
        <v>0</v>
      </c>
      <c r="L69" s="3">
        <f t="shared" si="19"/>
        <v>1</v>
      </c>
      <c r="M69" s="35">
        <f t="shared" si="20"/>
        <v>0</v>
      </c>
      <c r="N69" s="3">
        <v>66</v>
      </c>
      <c r="O69" s="35">
        <f t="shared" ref="O69:O138" si="21">$T$19+$T$20*H69+$T$21*I69+$T$22*J69+$T$23*K69+$T$24*L69+$T$25*M69+$T$26*N69</f>
        <v>158.18133415031039</v>
      </c>
      <c r="P69" s="35">
        <f t="shared" ref="P69:P138" si="22">G69/O69</f>
        <v>1.0936815075513797</v>
      </c>
      <c r="Q69" s="48">
        <f t="shared" ref="Q69:Q138" si="23">VLOOKUP(C69,$S$32:$T$38,2,FALSE)*O69</f>
        <v>168.9346163092614</v>
      </c>
    </row>
    <row r="70" spans="2:17" x14ac:dyDescent="0.3">
      <c r="B70" s="9">
        <v>42405</v>
      </c>
      <c r="C70" s="3" t="s">
        <v>7</v>
      </c>
      <c r="D70" s="3" t="s">
        <v>11</v>
      </c>
      <c r="E70" s="3" t="s">
        <v>16</v>
      </c>
      <c r="F70" s="5" t="s">
        <v>13</v>
      </c>
      <c r="G70" s="25">
        <v>234</v>
      </c>
      <c r="H70" s="3">
        <f t="shared" si="15"/>
        <v>0</v>
      </c>
      <c r="I70" s="3">
        <f t="shared" si="16"/>
        <v>1</v>
      </c>
      <c r="J70" s="3">
        <f t="shared" si="17"/>
        <v>1</v>
      </c>
      <c r="K70" s="3">
        <f t="shared" si="18"/>
        <v>0</v>
      </c>
      <c r="L70" s="3">
        <f t="shared" si="19"/>
        <v>0</v>
      </c>
      <c r="M70" s="35">
        <f t="shared" si="20"/>
        <v>0</v>
      </c>
      <c r="N70" s="3">
        <v>67</v>
      </c>
      <c r="O70" s="35">
        <f t="shared" si="21"/>
        <v>204.98795562660266</v>
      </c>
      <c r="P70" s="35">
        <f t="shared" si="22"/>
        <v>1.1415304830213755</v>
      </c>
      <c r="Q70" s="48">
        <f t="shared" si="23"/>
        <v>216.27169814008332</v>
      </c>
    </row>
    <row r="71" spans="2:17" x14ac:dyDescent="0.3">
      <c r="B71" s="9">
        <v>42406</v>
      </c>
      <c r="C71" s="3" t="s">
        <v>8</v>
      </c>
      <c r="D71" s="3" t="s">
        <v>11</v>
      </c>
      <c r="E71" s="3" t="s">
        <v>15</v>
      </c>
      <c r="F71" s="5" t="s">
        <v>13</v>
      </c>
      <c r="G71" s="25">
        <v>143</v>
      </c>
      <c r="H71" s="3">
        <f t="shared" si="15"/>
        <v>0</v>
      </c>
      <c r="I71" s="3">
        <f t="shared" si="16"/>
        <v>0</v>
      </c>
      <c r="J71" s="3">
        <f t="shared" si="17"/>
        <v>1</v>
      </c>
      <c r="K71" s="3">
        <f t="shared" si="18"/>
        <v>0</v>
      </c>
      <c r="L71" s="3">
        <f t="shared" si="19"/>
        <v>0</v>
      </c>
      <c r="M71" s="35">
        <f t="shared" si="20"/>
        <v>0</v>
      </c>
      <c r="N71" s="3">
        <v>68</v>
      </c>
      <c r="O71" s="35">
        <f t="shared" si="21"/>
        <v>166.28162880241229</v>
      </c>
      <c r="P71" s="35">
        <f t="shared" si="22"/>
        <v>0.85998676480324121</v>
      </c>
      <c r="Q71" s="48">
        <f t="shared" si="23"/>
        <v>147.89695360569888</v>
      </c>
    </row>
    <row r="72" spans="2:17" x14ac:dyDescent="0.3">
      <c r="B72" s="9">
        <v>42407</v>
      </c>
      <c r="C72" s="3" t="s">
        <v>9</v>
      </c>
      <c r="D72" s="3" t="s">
        <v>11</v>
      </c>
      <c r="E72" s="3" t="s">
        <v>15</v>
      </c>
      <c r="F72" s="5" t="s">
        <v>13</v>
      </c>
      <c r="G72" s="25">
        <v>114</v>
      </c>
      <c r="H72" s="3">
        <f t="shared" si="15"/>
        <v>0</v>
      </c>
      <c r="I72" s="3">
        <f t="shared" si="16"/>
        <v>0</v>
      </c>
      <c r="J72" s="3">
        <f t="shared" si="17"/>
        <v>1</v>
      </c>
      <c r="K72" s="3">
        <f t="shared" si="18"/>
        <v>0</v>
      </c>
      <c r="L72" s="3">
        <f t="shared" si="19"/>
        <v>0</v>
      </c>
      <c r="M72" s="35">
        <f t="shared" si="20"/>
        <v>0</v>
      </c>
      <c r="N72" s="3">
        <v>69</v>
      </c>
      <c r="O72" s="35">
        <f t="shared" si="21"/>
        <v>166.86367286207977</v>
      </c>
      <c r="P72" s="35">
        <f t="shared" si="22"/>
        <v>0.68319244113861777</v>
      </c>
      <c r="Q72" s="48">
        <f t="shared" si="23"/>
        <v>119.97344403142769</v>
      </c>
    </row>
    <row r="73" spans="2:17" x14ac:dyDescent="0.3">
      <c r="B73" s="9">
        <v>42408</v>
      </c>
      <c r="C73" s="3" t="s">
        <v>10</v>
      </c>
      <c r="D73" s="3" t="s">
        <v>11</v>
      </c>
      <c r="E73" s="3" t="s">
        <v>15</v>
      </c>
      <c r="F73" s="5" t="s">
        <v>30</v>
      </c>
      <c r="G73" s="25">
        <v>111</v>
      </c>
      <c r="H73" s="3">
        <f t="shared" si="15"/>
        <v>0</v>
      </c>
      <c r="I73" s="3">
        <f t="shared" si="16"/>
        <v>0</v>
      </c>
      <c r="J73" s="3">
        <f t="shared" si="17"/>
        <v>1</v>
      </c>
      <c r="K73" s="3">
        <f t="shared" si="18"/>
        <v>0</v>
      </c>
      <c r="L73" s="3">
        <f t="shared" si="19"/>
        <v>0</v>
      </c>
      <c r="M73" s="35">
        <f t="shared" si="20"/>
        <v>1</v>
      </c>
      <c r="N73" s="3">
        <v>70</v>
      </c>
      <c r="O73" s="35">
        <f t="shared" si="21"/>
        <v>103.8624949983825</v>
      </c>
      <c r="P73" s="35">
        <f t="shared" si="22"/>
        <v>1.0687207158053411</v>
      </c>
      <c r="Q73" s="48">
        <f t="shared" si="23"/>
        <v>109.59496512814393</v>
      </c>
    </row>
    <row r="74" spans="2:17" x14ac:dyDescent="0.3">
      <c r="B74" s="9">
        <v>42409</v>
      </c>
      <c r="C74" s="3" t="s">
        <v>4</v>
      </c>
      <c r="D74" s="3" t="s">
        <v>11</v>
      </c>
      <c r="E74" s="3" t="s">
        <v>15</v>
      </c>
      <c r="F74" s="5" t="s">
        <v>13</v>
      </c>
      <c r="G74" s="25">
        <v>187</v>
      </c>
      <c r="H74" s="3">
        <f t="shared" si="15"/>
        <v>0</v>
      </c>
      <c r="I74" s="3">
        <f t="shared" si="16"/>
        <v>0</v>
      </c>
      <c r="J74" s="3">
        <f t="shared" si="17"/>
        <v>1</v>
      </c>
      <c r="K74" s="3">
        <f t="shared" si="18"/>
        <v>0</v>
      </c>
      <c r="L74" s="3">
        <f t="shared" si="19"/>
        <v>0</v>
      </c>
      <c r="M74" s="35">
        <f t="shared" si="20"/>
        <v>0</v>
      </c>
      <c r="N74" s="3">
        <v>71</v>
      </c>
      <c r="O74" s="35">
        <f t="shared" si="21"/>
        <v>168.02776098141476</v>
      </c>
      <c r="P74" s="35">
        <f t="shared" si="22"/>
        <v>1.1129113362445133</v>
      </c>
      <c r="Q74" s="48">
        <f t="shared" si="23"/>
        <v>182.02531563355339</v>
      </c>
    </row>
    <row r="75" spans="2:17" x14ac:dyDescent="0.3">
      <c r="B75" s="9">
        <v>42410</v>
      </c>
      <c r="C75" s="3" t="s">
        <v>5</v>
      </c>
      <c r="D75" s="3" t="s">
        <v>11</v>
      </c>
      <c r="E75" s="3" t="s">
        <v>16</v>
      </c>
      <c r="F75" s="5" t="s">
        <v>30</v>
      </c>
      <c r="G75" s="25">
        <v>141</v>
      </c>
      <c r="H75" s="3">
        <f t="shared" si="15"/>
        <v>0</v>
      </c>
      <c r="I75" s="3">
        <f t="shared" si="16"/>
        <v>1</v>
      </c>
      <c r="J75" s="3">
        <f t="shared" si="17"/>
        <v>1</v>
      </c>
      <c r="K75" s="3">
        <f t="shared" si="18"/>
        <v>0</v>
      </c>
      <c r="L75" s="3">
        <f t="shared" si="19"/>
        <v>0</v>
      </c>
      <c r="M75" s="35">
        <f t="shared" si="20"/>
        <v>1</v>
      </c>
      <c r="N75" s="3">
        <v>72</v>
      </c>
      <c r="O75" s="35">
        <f t="shared" si="21"/>
        <v>144.31495400157539</v>
      </c>
      <c r="P75" s="35">
        <f t="shared" si="22"/>
        <v>0.97702972623655338</v>
      </c>
      <c r="Q75" s="48">
        <f t="shared" si="23"/>
        <v>166.94327934437558</v>
      </c>
    </row>
    <row r="76" spans="2:17" x14ac:dyDescent="0.3">
      <c r="B76" s="9">
        <v>42411</v>
      </c>
      <c r="C76" s="3" t="s">
        <v>6</v>
      </c>
      <c r="D76" s="3" t="s">
        <v>11</v>
      </c>
      <c r="E76" s="3" t="s">
        <v>12</v>
      </c>
      <c r="F76" s="5" t="s">
        <v>13</v>
      </c>
      <c r="G76" s="25">
        <v>184</v>
      </c>
      <c r="H76" s="3">
        <f t="shared" si="15"/>
        <v>0</v>
      </c>
      <c r="I76" s="3">
        <f t="shared" si="16"/>
        <v>0</v>
      </c>
      <c r="J76" s="3">
        <f t="shared" si="17"/>
        <v>1</v>
      </c>
      <c r="K76" s="3">
        <f t="shared" si="18"/>
        <v>0</v>
      </c>
      <c r="L76" s="3">
        <f t="shared" si="19"/>
        <v>0</v>
      </c>
      <c r="M76" s="35">
        <f t="shared" si="20"/>
        <v>0</v>
      </c>
      <c r="N76" s="3">
        <v>73</v>
      </c>
      <c r="O76" s="35">
        <f t="shared" si="21"/>
        <v>169.19184910074975</v>
      </c>
      <c r="P76" s="35">
        <f t="shared" si="22"/>
        <v>1.0875228385880005</v>
      </c>
      <c r="Q76" s="48">
        <f t="shared" si="23"/>
        <v>180.69363407524102</v>
      </c>
    </row>
    <row r="77" spans="2:17" x14ac:dyDescent="0.3">
      <c r="B77" s="9">
        <v>42412</v>
      </c>
      <c r="C77" s="3" t="s">
        <v>7</v>
      </c>
      <c r="D77" s="3" t="s">
        <v>11</v>
      </c>
      <c r="E77" s="3" t="s">
        <v>15</v>
      </c>
      <c r="F77" s="5" t="s">
        <v>13</v>
      </c>
      <c r="G77" s="25">
        <v>188</v>
      </c>
      <c r="H77" s="3">
        <f t="shared" si="15"/>
        <v>0</v>
      </c>
      <c r="I77" s="3">
        <f t="shared" si="16"/>
        <v>0</v>
      </c>
      <c r="J77" s="3">
        <f t="shared" si="17"/>
        <v>1</v>
      </c>
      <c r="K77" s="3">
        <f t="shared" si="18"/>
        <v>0</v>
      </c>
      <c r="L77" s="3">
        <f t="shared" si="19"/>
        <v>0</v>
      </c>
      <c r="M77" s="35">
        <f t="shared" si="20"/>
        <v>0</v>
      </c>
      <c r="N77" s="3">
        <v>74</v>
      </c>
      <c r="O77" s="35">
        <f t="shared" si="21"/>
        <v>169.77389316041726</v>
      </c>
      <c r="P77" s="35">
        <f t="shared" si="22"/>
        <v>1.1073551798824635</v>
      </c>
      <c r="Q77" s="48">
        <f t="shared" si="23"/>
        <v>179.11924659875709</v>
      </c>
    </row>
    <row r="78" spans="2:17" x14ac:dyDescent="0.3">
      <c r="B78" s="9">
        <v>42413</v>
      </c>
      <c r="C78" s="3" t="s">
        <v>8</v>
      </c>
      <c r="D78" s="3" t="s">
        <v>11</v>
      </c>
      <c r="E78" s="3" t="s">
        <v>12</v>
      </c>
      <c r="F78" s="5" t="s">
        <v>13</v>
      </c>
      <c r="G78" s="25">
        <v>148</v>
      </c>
      <c r="H78" s="3">
        <f t="shared" si="15"/>
        <v>0</v>
      </c>
      <c r="I78" s="3">
        <f t="shared" si="16"/>
        <v>0</v>
      </c>
      <c r="J78" s="3">
        <f t="shared" si="17"/>
        <v>1</v>
      </c>
      <c r="K78" s="3">
        <f t="shared" si="18"/>
        <v>0</v>
      </c>
      <c r="L78" s="3">
        <f t="shared" si="19"/>
        <v>0</v>
      </c>
      <c r="M78" s="35">
        <f t="shared" si="20"/>
        <v>0</v>
      </c>
      <c r="N78" s="3">
        <v>75</v>
      </c>
      <c r="O78" s="35">
        <f t="shared" si="21"/>
        <v>170.35593722008474</v>
      </c>
      <c r="P78" s="35">
        <f t="shared" si="22"/>
        <v>0.8687692511050974</v>
      </c>
      <c r="Q78" s="48">
        <f t="shared" si="23"/>
        <v>151.52079231454289</v>
      </c>
    </row>
    <row r="79" spans="2:17" x14ac:dyDescent="0.3">
      <c r="B79" s="9">
        <v>42414</v>
      </c>
      <c r="C79" s="3" t="s">
        <v>9</v>
      </c>
      <c r="D79" s="3" t="s">
        <v>11</v>
      </c>
      <c r="E79" s="3" t="s">
        <v>12</v>
      </c>
      <c r="F79" s="5" t="s">
        <v>30</v>
      </c>
      <c r="G79" s="25">
        <v>97</v>
      </c>
      <c r="H79" s="3">
        <f t="shared" si="15"/>
        <v>0</v>
      </c>
      <c r="I79" s="3">
        <f t="shared" si="16"/>
        <v>0</v>
      </c>
      <c r="J79" s="3">
        <f t="shared" si="17"/>
        <v>1</v>
      </c>
      <c r="K79" s="3">
        <f t="shared" si="18"/>
        <v>0</v>
      </c>
      <c r="L79" s="3">
        <f t="shared" si="19"/>
        <v>0</v>
      </c>
      <c r="M79" s="35">
        <f t="shared" si="20"/>
        <v>1</v>
      </c>
      <c r="N79" s="3">
        <v>76</v>
      </c>
      <c r="O79" s="35">
        <f t="shared" si="21"/>
        <v>107.35475935638749</v>
      </c>
      <c r="P79" s="35">
        <f t="shared" si="22"/>
        <v>0.90354634094970476</v>
      </c>
      <c r="Q79" s="48">
        <f t="shared" si="23"/>
        <v>77.187083277236766</v>
      </c>
    </row>
    <row r="80" spans="2:17" x14ac:dyDescent="0.3">
      <c r="B80" s="9">
        <v>42415</v>
      </c>
      <c r="C80" s="3" t="s">
        <v>10</v>
      </c>
      <c r="D80" s="3" t="s">
        <v>11</v>
      </c>
      <c r="E80" s="3" t="s">
        <v>15</v>
      </c>
      <c r="F80" s="5" t="s">
        <v>30</v>
      </c>
      <c r="G80" s="25">
        <v>118</v>
      </c>
      <c r="H80" s="3">
        <f t="shared" si="15"/>
        <v>0</v>
      </c>
      <c r="I80" s="3">
        <f t="shared" si="16"/>
        <v>0</v>
      </c>
      <c r="J80" s="3">
        <f t="shared" si="17"/>
        <v>1</v>
      </c>
      <c r="K80" s="3">
        <f t="shared" si="18"/>
        <v>0</v>
      </c>
      <c r="L80" s="3">
        <f t="shared" si="19"/>
        <v>0</v>
      </c>
      <c r="M80" s="35">
        <f t="shared" si="20"/>
        <v>1</v>
      </c>
      <c r="N80" s="3">
        <v>77</v>
      </c>
      <c r="O80" s="35">
        <f t="shared" si="21"/>
        <v>107.93680341605499</v>
      </c>
      <c r="P80" s="35">
        <f t="shared" si="22"/>
        <v>1.0932323013602252</v>
      </c>
      <c r="Q80" s="48">
        <f t="shared" si="23"/>
        <v>113.89414635774055</v>
      </c>
    </row>
    <row r="81" spans="2:17" x14ac:dyDescent="0.3">
      <c r="B81" s="9">
        <v>42416</v>
      </c>
      <c r="C81" s="3" t="s">
        <v>4</v>
      </c>
      <c r="D81" s="3" t="s">
        <v>11</v>
      </c>
      <c r="E81" s="3" t="s">
        <v>29</v>
      </c>
      <c r="F81" s="5" t="s">
        <v>13</v>
      </c>
      <c r="G81" s="25">
        <v>266</v>
      </c>
      <c r="H81" s="3">
        <f t="shared" si="15"/>
        <v>1</v>
      </c>
      <c r="I81" s="3">
        <f t="shared" si="16"/>
        <v>0</v>
      </c>
      <c r="J81" s="3">
        <f t="shared" si="17"/>
        <v>1</v>
      </c>
      <c r="K81" s="3">
        <f t="shared" si="18"/>
        <v>0</v>
      </c>
      <c r="L81" s="3">
        <f t="shared" si="19"/>
        <v>0</v>
      </c>
      <c r="M81" s="35">
        <f t="shared" si="20"/>
        <v>0</v>
      </c>
      <c r="N81" s="3">
        <v>78</v>
      </c>
      <c r="O81" s="35">
        <f t="shared" si="21"/>
        <v>216.11212577134316</v>
      </c>
      <c r="P81" s="35">
        <f t="shared" si="22"/>
        <v>1.2308425501373328</v>
      </c>
      <c r="Q81" s="48">
        <f t="shared" si="23"/>
        <v>234.11534901139353</v>
      </c>
    </row>
    <row r="82" spans="2:17" x14ac:dyDescent="0.3">
      <c r="B82" s="9">
        <v>42417</v>
      </c>
      <c r="C82" s="3" t="s">
        <v>5</v>
      </c>
      <c r="D82" s="3" t="s">
        <v>11</v>
      </c>
      <c r="E82" s="3" t="s">
        <v>15</v>
      </c>
      <c r="F82" s="5" t="s">
        <v>13</v>
      </c>
      <c r="G82" s="25">
        <v>199</v>
      </c>
      <c r="H82" s="3">
        <f t="shared" si="15"/>
        <v>0</v>
      </c>
      <c r="I82" s="3">
        <f t="shared" si="16"/>
        <v>0</v>
      </c>
      <c r="J82" s="3">
        <f t="shared" si="17"/>
        <v>1</v>
      </c>
      <c r="K82" s="3">
        <f t="shared" si="18"/>
        <v>0</v>
      </c>
      <c r="L82" s="3">
        <f t="shared" si="19"/>
        <v>0</v>
      </c>
      <c r="M82" s="35">
        <f t="shared" si="20"/>
        <v>0</v>
      </c>
      <c r="N82" s="3">
        <v>79</v>
      </c>
      <c r="O82" s="35">
        <f t="shared" si="21"/>
        <v>172.68411345875472</v>
      </c>
      <c r="P82" s="35">
        <f t="shared" si="22"/>
        <v>1.1523932110149251</v>
      </c>
      <c r="Q82" s="48">
        <f t="shared" si="23"/>
        <v>199.7606720033049</v>
      </c>
    </row>
    <row r="83" spans="2:17" x14ac:dyDescent="0.3">
      <c r="B83" s="9">
        <v>42418</v>
      </c>
      <c r="C83" s="3" t="s">
        <v>6</v>
      </c>
      <c r="D83" s="3" t="s">
        <v>11</v>
      </c>
      <c r="E83" s="3" t="s">
        <v>12</v>
      </c>
      <c r="F83" s="5" t="s">
        <v>13</v>
      </c>
      <c r="G83" s="25">
        <v>193</v>
      </c>
      <c r="H83" s="3">
        <f t="shared" si="15"/>
        <v>0</v>
      </c>
      <c r="I83" s="3">
        <f t="shared" si="16"/>
        <v>0</v>
      </c>
      <c r="J83" s="3">
        <f t="shared" si="17"/>
        <v>1</v>
      </c>
      <c r="K83" s="3">
        <f t="shared" si="18"/>
        <v>0</v>
      </c>
      <c r="L83" s="3">
        <f t="shared" si="19"/>
        <v>0</v>
      </c>
      <c r="M83" s="35">
        <f t="shared" si="20"/>
        <v>0</v>
      </c>
      <c r="N83" s="3">
        <v>80</v>
      </c>
      <c r="O83" s="35">
        <f t="shared" si="21"/>
        <v>173.26615751842223</v>
      </c>
      <c r="P83" s="35">
        <f t="shared" si="22"/>
        <v>1.1138932308779319</v>
      </c>
      <c r="Q83" s="48">
        <f t="shared" si="23"/>
        <v>185.04491694285832</v>
      </c>
    </row>
    <row r="84" spans="2:17" x14ac:dyDescent="0.3">
      <c r="B84" s="9">
        <v>42419</v>
      </c>
      <c r="C84" s="3" t="s">
        <v>7</v>
      </c>
      <c r="D84" s="3" t="s">
        <v>11</v>
      </c>
      <c r="E84" s="3" t="s">
        <v>12</v>
      </c>
      <c r="F84" s="5" t="s">
        <v>13</v>
      </c>
      <c r="G84" s="25">
        <v>192</v>
      </c>
      <c r="H84" s="3">
        <f t="shared" si="15"/>
        <v>0</v>
      </c>
      <c r="I84" s="3">
        <f t="shared" si="16"/>
        <v>0</v>
      </c>
      <c r="J84" s="3">
        <f t="shared" si="17"/>
        <v>1</v>
      </c>
      <c r="K84" s="3">
        <f t="shared" si="18"/>
        <v>0</v>
      </c>
      <c r="L84" s="3">
        <f t="shared" si="19"/>
        <v>0</v>
      </c>
      <c r="M84" s="35">
        <f t="shared" si="20"/>
        <v>0</v>
      </c>
      <c r="N84" s="3">
        <v>81</v>
      </c>
      <c r="O84" s="35">
        <f t="shared" si="21"/>
        <v>173.84820157808974</v>
      </c>
      <c r="P84" s="35">
        <f t="shared" si="22"/>
        <v>1.1044117699069598</v>
      </c>
      <c r="Q84" s="48">
        <f t="shared" si="23"/>
        <v>183.4178289107908</v>
      </c>
    </row>
    <row r="85" spans="2:17" x14ac:dyDescent="0.3">
      <c r="B85" s="9">
        <v>42420</v>
      </c>
      <c r="C85" s="3" t="s">
        <v>8</v>
      </c>
      <c r="D85" s="3" t="s">
        <v>14</v>
      </c>
      <c r="E85" s="3" t="s">
        <v>12</v>
      </c>
      <c r="F85" s="5" t="s">
        <v>13</v>
      </c>
      <c r="G85" s="25">
        <v>145</v>
      </c>
      <c r="H85" s="3">
        <f t="shared" si="15"/>
        <v>0</v>
      </c>
      <c r="I85" s="3">
        <f t="shared" si="16"/>
        <v>0</v>
      </c>
      <c r="J85" s="3">
        <f t="shared" si="17"/>
        <v>0</v>
      </c>
      <c r="K85" s="3">
        <f t="shared" si="18"/>
        <v>0</v>
      </c>
      <c r="L85" s="3">
        <f t="shared" si="19"/>
        <v>1</v>
      </c>
      <c r="M85" s="35">
        <f t="shared" si="20"/>
        <v>0</v>
      </c>
      <c r="N85" s="3">
        <v>82</v>
      </c>
      <c r="O85" s="35">
        <f t="shared" si="21"/>
        <v>167.49403910499035</v>
      </c>
      <c r="P85" s="35">
        <f t="shared" si="22"/>
        <v>0.8657024499188869</v>
      </c>
      <c r="Q85" s="48">
        <f t="shared" si="23"/>
        <v>148.97531560854245</v>
      </c>
    </row>
    <row r="86" spans="2:17" x14ac:dyDescent="0.3">
      <c r="B86" s="9">
        <v>42421</v>
      </c>
      <c r="C86" s="3" t="s">
        <v>9</v>
      </c>
      <c r="D86" s="3" t="s">
        <v>14</v>
      </c>
      <c r="E86" s="3" t="s">
        <v>15</v>
      </c>
      <c r="F86" s="5" t="s">
        <v>13</v>
      </c>
      <c r="G86" s="25">
        <v>111</v>
      </c>
      <c r="H86" s="3">
        <f t="shared" si="15"/>
        <v>0</v>
      </c>
      <c r="I86" s="3">
        <f t="shared" si="16"/>
        <v>0</v>
      </c>
      <c r="J86" s="3">
        <f t="shared" si="17"/>
        <v>0</v>
      </c>
      <c r="K86" s="3">
        <f t="shared" si="18"/>
        <v>0</v>
      </c>
      <c r="L86" s="3">
        <f t="shared" si="19"/>
        <v>1</v>
      </c>
      <c r="M86" s="35">
        <f t="shared" si="20"/>
        <v>0</v>
      </c>
      <c r="N86" s="3">
        <v>83</v>
      </c>
      <c r="O86" s="35">
        <f t="shared" si="21"/>
        <v>168.07608316465786</v>
      </c>
      <c r="P86" s="35">
        <f t="shared" si="22"/>
        <v>0.6604151995335199</v>
      </c>
      <c r="Q86" s="48">
        <f t="shared" si="23"/>
        <v>120.84515587310402</v>
      </c>
    </row>
    <row r="87" spans="2:17" x14ac:dyDescent="0.3">
      <c r="B87" s="9">
        <v>42422</v>
      </c>
      <c r="C87" s="3" t="s">
        <v>10</v>
      </c>
      <c r="D87" s="3" t="s">
        <v>14</v>
      </c>
      <c r="E87" s="3" t="s">
        <v>12</v>
      </c>
      <c r="F87" s="5" t="s">
        <v>13</v>
      </c>
      <c r="G87" s="25">
        <v>171</v>
      </c>
      <c r="H87" s="3">
        <f t="shared" si="15"/>
        <v>0</v>
      </c>
      <c r="I87" s="3">
        <f t="shared" si="16"/>
        <v>0</v>
      </c>
      <c r="J87" s="3">
        <f t="shared" si="17"/>
        <v>0</v>
      </c>
      <c r="K87" s="3">
        <f t="shared" si="18"/>
        <v>0</v>
      </c>
      <c r="L87" s="3">
        <f t="shared" si="19"/>
        <v>1</v>
      </c>
      <c r="M87" s="35">
        <f t="shared" si="20"/>
        <v>0</v>
      </c>
      <c r="N87" s="3">
        <v>84</v>
      </c>
      <c r="O87" s="35">
        <f t="shared" si="21"/>
        <v>168.65812722432534</v>
      </c>
      <c r="P87" s="35">
        <f t="shared" si="22"/>
        <v>1.0138853242011863</v>
      </c>
      <c r="Q87" s="48">
        <f t="shared" si="23"/>
        <v>177.96685484992307</v>
      </c>
    </row>
    <row r="88" spans="2:17" x14ac:dyDescent="0.3">
      <c r="B88" s="9">
        <v>42423</v>
      </c>
      <c r="C88" s="3" t="s">
        <v>4</v>
      </c>
      <c r="D88" s="3" t="s">
        <v>11</v>
      </c>
      <c r="E88" s="3" t="s">
        <v>15</v>
      </c>
      <c r="F88" s="5" t="s">
        <v>13</v>
      </c>
      <c r="G88" s="25">
        <v>202</v>
      </c>
      <c r="H88" s="3">
        <f t="shared" si="15"/>
        <v>0</v>
      </c>
      <c r="I88" s="3">
        <f t="shared" si="16"/>
        <v>0</v>
      </c>
      <c r="J88" s="3">
        <f t="shared" si="17"/>
        <v>1</v>
      </c>
      <c r="K88" s="3">
        <f t="shared" si="18"/>
        <v>0</v>
      </c>
      <c r="L88" s="3">
        <f t="shared" si="19"/>
        <v>0</v>
      </c>
      <c r="M88" s="35">
        <f t="shared" si="20"/>
        <v>0</v>
      </c>
      <c r="N88" s="3">
        <v>85</v>
      </c>
      <c r="O88" s="35">
        <f t="shared" si="21"/>
        <v>176.17637781675973</v>
      </c>
      <c r="P88" s="35">
        <f t="shared" si="22"/>
        <v>1.1465782331505265</v>
      </c>
      <c r="Q88" s="48">
        <f t="shared" si="23"/>
        <v>190.85275309250173</v>
      </c>
    </row>
    <row r="89" spans="2:17" x14ac:dyDescent="0.3">
      <c r="B89" s="9">
        <v>42424</v>
      </c>
      <c r="C89" s="3" t="s">
        <v>5</v>
      </c>
      <c r="D89" s="3" t="s">
        <v>11</v>
      </c>
      <c r="E89" s="3" t="s">
        <v>29</v>
      </c>
      <c r="F89" s="5" t="s">
        <v>13</v>
      </c>
      <c r="G89" s="25">
        <v>297</v>
      </c>
      <c r="H89" s="3">
        <f t="shared" si="15"/>
        <v>1</v>
      </c>
      <c r="I89" s="3">
        <f t="shared" si="16"/>
        <v>0</v>
      </c>
      <c r="J89" s="3">
        <f t="shared" si="17"/>
        <v>1</v>
      </c>
      <c r="K89" s="3">
        <f t="shared" si="18"/>
        <v>0</v>
      </c>
      <c r="L89" s="3">
        <f t="shared" si="19"/>
        <v>0</v>
      </c>
      <c r="M89" s="35">
        <f t="shared" si="20"/>
        <v>0</v>
      </c>
      <c r="N89" s="3">
        <v>86</v>
      </c>
      <c r="O89" s="35">
        <f t="shared" si="21"/>
        <v>220.76847824868312</v>
      </c>
      <c r="P89" s="35">
        <f t="shared" si="22"/>
        <v>1.3453007528794323</v>
      </c>
      <c r="Q89" s="48">
        <f t="shared" si="23"/>
        <v>255.38457874781486</v>
      </c>
    </row>
    <row r="90" spans="2:17" x14ac:dyDescent="0.3">
      <c r="B90" s="9">
        <v>42425</v>
      </c>
      <c r="C90" s="3" t="s">
        <v>6</v>
      </c>
      <c r="D90" s="3" t="s">
        <v>14</v>
      </c>
      <c r="E90" s="3" t="s">
        <v>15</v>
      </c>
      <c r="F90" s="5" t="s">
        <v>13</v>
      </c>
      <c r="G90" s="25">
        <v>189</v>
      </c>
      <c r="H90" s="3">
        <f t="shared" si="15"/>
        <v>0</v>
      </c>
      <c r="I90" s="3">
        <f t="shared" si="16"/>
        <v>0</v>
      </c>
      <c r="J90" s="3">
        <f t="shared" si="17"/>
        <v>0</v>
      </c>
      <c r="K90" s="3">
        <f t="shared" si="18"/>
        <v>0</v>
      </c>
      <c r="L90" s="3">
        <f t="shared" si="19"/>
        <v>1</v>
      </c>
      <c r="M90" s="35">
        <f t="shared" si="20"/>
        <v>0</v>
      </c>
      <c r="N90" s="3">
        <v>87</v>
      </c>
      <c r="O90" s="35">
        <f t="shared" si="21"/>
        <v>170.40425940332784</v>
      </c>
      <c r="P90" s="35">
        <f t="shared" si="22"/>
        <v>1.1091272052810495</v>
      </c>
      <c r="Q90" s="48">
        <f t="shared" si="23"/>
        <v>181.98846491211333</v>
      </c>
    </row>
    <row r="91" spans="2:17" x14ac:dyDescent="0.3">
      <c r="B91" s="9">
        <v>42426</v>
      </c>
      <c r="C91" s="3" t="s">
        <v>7</v>
      </c>
      <c r="D91" s="3" t="s">
        <v>11</v>
      </c>
      <c r="E91" s="3" t="s">
        <v>12</v>
      </c>
      <c r="F91" s="5" t="s">
        <v>13</v>
      </c>
      <c r="G91" s="25">
        <v>190</v>
      </c>
      <c r="H91" s="3">
        <f t="shared" si="15"/>
        <v>0</v>
      </c>
      <c r="I91" s="3">
        <f t="shared" si="16"/>
        <v>0</v>
      </c>
      <c r="J91" s="3">
        <f t="shared" si="17"/>
        <v>1</v>
      </c>
      <c r="K91" s="3">
        <f t="shared" si="18"/>
        <v>0</v>
      </c>
      <c r="L91" s="3">
        <f t="shared" si="19"/>
        <v>0</v>
      </c>
      <c r="M91" s="35">
        <f t="shared" si="20"/>
        <v>0</v>
      </c>
      <c r="N91" s="3">
        <v>88</v>
      </c>
      <c r="O91" s="35">
        <f t="shared" si="21"/>
        <v>177.9225099957622</v>
      </c>
      <c r="P91" s="35">
        <f t="shared" si="22"/>
        <v>1.0678806183912619</v>
      </c>
      <c r="Q91" s="48">
        <f t="shared" si="23"/>
        <v>187.71641122282446</v>
      </c>
    </row>
    <row r="92" spans="2:17" x14ac:dyDescent="0.3">
      <c r="B92" s="9">
        <v>42427</v>
      </c>
      <c r="C92" s="3" t="s">
        <v>8</v>
      </c>
      <c r="D92" s="3" t="s">
        <v>11</v>
      </c>
      <c r="E92" s="3" t="s">
        <v>15</v>
      </c>
      <c r="F92" s="5" t="s">
        <v>13</v>
      </c>
      <c r="G92" s="25">
        <v>152</v>
      </c>
      <c r="H92" s="3">
        <f t="shared" si="15"/>
        <v>0</v>
      </c>
      <c r="I92" s="3">
        <f t="shared" si="16"/>
        <v>0</v>
      </c>
      <c r="J92" s="3">
        <f t="shared" si="17"/>
        <v>1</v>
      </c>
      <c r="K92" s="3">
        <f t="shared" si="18"/>
        <v>0</v>
      </c>
      <c r="L92" s="3">
        <f t="shared" si="19"/>
        <v>0</v>
      </c>
      <c r="M92" s="35">
        <f t="shared" si="20"/>
        <v>0</v>
      </c>
      <c r="N92" s="3">
        <v>89</v>
      </c>
      <c r="O92" s="35">
        <f t="shared" si="21"/>
        <v>178.50455405542971</v>
      </c>
      <c r="P92" s="35">
        <f t="shared" si="22"/>
        <v>0.85151889151691085</v>
      </c>
      <c r="Q92" s="48">
        <f t="shared" si="23"/>
        <v>158.76846973223095</v>
      </c>
    </row>
    <row r="93" spans="2:17" x14ac:dyDescent="0.3">
      <c r="B93" s="9">
        <v>42428</v>
      </c>
      <c r="C93" s="3" t="s">
        <v>9</v>
      </c>
      <c r="D93" s="3" t="s">
        <v>11</v>
      </c>
      <c r="E93" s="3" t="s">
        <v>15</v>
      </c>
      <c r="F93" s="5" t="s">
        <v>13</v>
      </c>
      <c r="G93" s="25">
        <v>119</v>
      </c>
      <c r="H93" s="3">
        <f t="shared" si="15"/>
        <v>0</v>
      </c>
      <c r="I93" s="3">
        <f t="shared" si="16"/>
        <v>0</v>
      </c>
      <c r="J93" s="3">
        <f t="shared" si="17"/>
        <v>1</v>
      </c>
      <c r="K93" s="3">
        <f t="shared" si="18"/>
        <v>0</v>
      </c>
      <c r="L93" s="3">
        <f t="shared" si="19"/>
        <v>0</v>
      </c>
      <c r="M93" s="35">
        <f t="shared" si="20"/>
        <v>0</v>
      </c>
      <c r="N93" s="3">
        <v>90</v>
      </c>
      <c r="O93" s="35">
        <f t="shared" si="21"/>
        <v>179.08659811509722</v>
      </c>
      <c r="P93" s="35">
        <f t="shared" si="22"/>
        <v>0.66448300013784312</v>
      </c>
      <c r="Q93" s="48">
        <f t="shared" si="23"/>
        <v>128.76161471945565</v>
      </c>
    </row>
    <row r="94" spans="2:17" x14ac:dyDescent="0.3">
      <c r="B94" s="9">
        <v>42429</v>
      </c>
      <c r="C94" s="3" t="s">
        <v>10</v>
      </c>
      <c r="D94" s="3" t="s">
        <v>14</v>
      </c>
      <c r="E94" s="3" t="s">
        <v>15</v>
      </c>
      <c r="F94" s="5" t="s">
        <v>13</v>
      </c>
      <c r="G94" s="25">
        <v>178</v>
      </c>
      <c r="H94" s="3">
        <f t="shared" si="15"/>
        <v>0</v>
      </c>
      <c r="I94" s="3">
        <f t="shared" si="16"/>
        <v>0</v>
      </c>
      <c r="J94" s="3">
        <f t="shared" si="17"/>
        <v>0</v>
      </c>
      <c r="K94" s="3">
        <f t="shared" si="18"/>
        <v>0</v>
      </c>
      <c r="L94" s="3">
        <f t="shared" si="19"/>
        <v>1</v>
      </c>
      <c r="M94" s="35">
        <f t="shared" si="20"/>
        <v>0</v>
      </c>
      <c r="N94" s="3">
        <v>91</v>
      </c>
      <c r="O94" s="35">
        <f t="shared" si="21"/>
        <v>172.73243564199782</v>
      </c>
      <c r="P94" s="35">
        <f t="shared" si="22"/>
        <v>1.0304955137025893</v>
      </c>
      <c r="Q94" s="48">
        <f t="shared" si="23"/>
        <v>182.26603607951967</v>
      </c>
    </row>
    <row r="95" spans="2:17" x14ac:dyDescent="0.3">
      <c r="B95" s="9">
        <v>42430</v>
      </c>
      <c r="C95" s="3" t="s">
        <v>4</v>
      </c>
      <c r="D95" s="3" t="s">
        <v>11</v>
      </c>
      <c r="E95" s="3" t="s">
        <v>12</v>
      </c>
      <c r="F95" s="5" t="s">
        <v>13</v>
      </c>
      <c r="G95" s="25">
        <v>161</v>
      </c>
      <c r="H95" s="3">
        <f t="shared" si="15"/>
        <v>0</v>
      </c>
      <c r="I95" s="3">
        <f t="shared" si="16"/>
        <v>0</v>
      </c>
      <c r="J95" s="3">
        <f t="shared" si="17"/>
        <v>1</v>
      </c>
      <c r="K95" s="3">
        <f t="shared" si="18"/>
        <v>0</v>
      </c>
      <c r="L95" s="3">
        <f t="shared" si="19"/>
        <v>0</v>
      </c>
      <c r="M95" s="35">
        <f t="shared" si="20"/>
        <v>0</v>
      </c>
      <c r="N95" s="3">
        <v>92</v>
      </c>
      <c r="O95" s="35">
        <f t="shared" si="21"/>
        <v>180.25068623443221</v>
      </c>
      <c r="P95" s="35">
        <f t="shared" si="22"/>
        <v>0.89320048296850885</v>
      </c>
      <c r="Q95" s="48">
        <f t="shared" si="23"/>
        <v>195.26647182197587</v>
      </c>
    </row>
    <row r="96" spans="2:17" x14ac:dyDescent="0.3">
      <c r="B96" s="9">
        <v>42431</v>
      </c>
      <c r="C96" s="3" t="s">
        <v>5</v>
      </c>
      <c r="D96" s="3" t="s">
        <v>14</v>
      </c>
      <c r="E96" s="3" t="s">
        <v>15</v>
      </c>
      <c r="F96" s="5" t="s">
        <v>13</v>
      </c>
      <c r="G96" s="25">
        <v>231</v>
      </c>
      <c r="H96" s="3">
        <f t="shared" si="15"/>
        <v>0</v>
      </c>
      <c r="I96" s="3">
        <f t="shared" si="16"/>
        <v>0</v>
      </c>
      <c r="J96" s="3">
        <f t="shared" si="17"/>
        <v>0</v>
      </c>
      <c r="K96" s="3">
        <f t="shared" si="18"/>
        <v>0</v>
      </c>
      <c r="L96" s="3">
        <f t="shared" si="19"/>
        <v>1</v>
      </c>
      <c r="M96" s="35">
        <f t="shared" si="20"/>
        <v>0</v>
      </c>
      <c r="N96" s="3">
        <v>93</v>
      </c>
      <c r="O96" s="35">
        <f t="shared" si="21"/>
        <v>173.89652376133282</v>
      </c>
      <c r="P96" s="35">
        <f t="shared" si="22"/>
        <v>1.3283761802912162</v>
      </c>
      <c r="Q96" s="48">
        <f t="shared" si="23"/>
        <v>201.16318606169614</v>
      </c>
    </row>
    <row r="97" spans="2:17" x14ac:dyDescent="0.3">
      <c r="B97" s="9">
        <v>42432</v>
      </c>
      <c r="C97" s="3" t="s">
        <v>6</v>
      </c>
      <c r="D97" s="3" t="s">
        <v>11</v>
      </c>
      <c r="E97" s="3" t="s">
        <v>15</v>
      </c>
      <c r="F97" s="5" t="s">
        <v>13</v>
      </c>
      <c r="G97" s="25">
        <v>166</v>
      </c>
      <c r="H97" s="3">
        <f t="shared" si="15"/>
        <v>0</v>
      </c>
      <c r="I97" s="3">
        <f t="shared" si="16"/>
        <v>0</v>
      </c>
      <c r="J97" s="3">
        <f t="shared" si="17"/>
        <v>1</v>
      </c>
      <c r="K97" s="3">
        <f t="shared" si="18"/>
        <v>0</v>
      </c>
      <c r="L97" s="3">
        <f t="shared" si="19"/>
        <v>0</v>
      </c>
      <c r="M97" s="35">
        <f t="shared" si="20"/>
        <v>0</v>
      </c>
      <c r="N97" s="3">
        <v>94</v>
      </c>
      <c r="O97" s="35">
        <f t="shared" si="21"/>
        <v>181.4147743537672</v>
      </c>
      <c r="P97" s="35">
        <f t="shared" si="22"/>
        <v>0.91503021510415861</v>
      </c>
      <c r="Q97" s="48">
        <f t="shared" si="23"/>
        <v>193.74748267809295</v>
      </c>
    </row>
    <row r="98" spans="2:17" x14ac:dyDescent="0.3">
      <c r="B98" s="9">
        <v>42433</v>
      </c>
      <c r="C98" s="3" t="s">
        <v>7</v>
      </c>
      <c r="D98" s="3" t="s">
        <v>11</v>
      </c>
      <c r="E98" s="3" t="s">
        <v>16</v>
      </c>
      <c r="F98" s="5" t="s">
        <v>13</v>
      </c>
      <c r="G98" s="25">
        <v>186</v>
      </c>
      <c r="H98" s="3">
        <f t="shared" si="15"/>
        <v>0</v>
      </c>
      <c r="I98" s="3">
        <f t="shared" si="16"/>
        <v>1</v>
      </c>
      <c r="J98" s="3">
        <f t="shared" si="17"/>
        <v>1</v>
      </c>
      <c r="K98" s="3">
        <f t="shared" si="18"/>
        <v>0</v>
      </c>
      <c r="L98" s="3">
        <f t="shared" si="19"/>
        <v>0</v>
      </c>
      <c r="M98" s="35">
        <f t="shared" si="20"/>
        <v>0</v>
      </c>
      <c r="N98" s="3">
        <v>95</v>
      </c>
      <c r="O98" s="35">
        <f t="shared" si="21"/>
        <v>221.28518929729256</v>
      </c>
      <c r="P98" s="35">
        <f t="shared" si="22"/>
        <v>0.84054427949135102</v>
      </c>
      <c r="Q98" s="48">
        <f t="shared" si="23"/>
        <v>233.46602738821809</v>
      </c>
    </row>
    <row r="99" spans="2:17" x14ac:dyDescent="0.3">
      <c r="B99" s="9">
        <v>42434</v>
      </c>
      <c r="C99" s="3" t="s">
        <v>8</v>
      </c>
      <c r="D99" s="3" t="s">
        <v>11</v>
      </c>
      <c r="E99" s="3" t="s">
        <v>12</v>
      </c>
      <c r="F99" s="5" t="s">
        <v>13</v>
      </c>
      <c r="G99" s="25">
        <v>240</v>
      </c>
      <c r="H99" s="3">
        <f t="shared" si="15"/>
        <v>0</v>
      </c>
      <c r="I99" s="3">
        <f t="shared" si="16"/>
        <v>0</v>
      </c>
      <c r="J99" s="3">
        <f t="shared" si="17"/>
        <v>1</v>
      </c>
      <c r="K99" s="3">
        <f t="shared" si="18"/>
        <v>0</v>
      </c>
      <c r="L99" s="3">
        <f t="shared" si="19"/>
        <v>0</v>
      </c>
      <c r="M99" s="35">
        <f t="shared" si="20"/>
        <v>0</v>
      </c>
      <c r="N99" s="3">
        <v>96</v>
      </c>
      <c r="O99" s="35">
        <f t="shared" si="21"/>
        <v>182.57886247310219</v>
      </c>
      <c r="P99" s="35">
        <f t="shared" si="22"/>
        <v>1.3145004670809426</v>
      </c>
      <c r="Q99" s="48">
        <f t="shared" si="23"/>
        <v>162.39230844107499</v>
      </c>
    </row>
    <row r="100" spans="2:17" x14ac:dyDescent="0.3">
      <c r="B100" s="9">
        <v>42435</v>
      </c>
      <c r="C100" s="3" t="s">
        <v>9</v>
      </c>
      <c r="D100" s="3" t="s">
        <v>11</v>
      </c>
      <c r="E100" s="3" t="s">
        <v>12</v>
      </c>
      <c r="F100" s="5" t="s">
        <v>13</v>
      </c>
      <c r="G100" s="25">
        <v>115</v>
      </c>
      <c r="H100" s="3">
        <f t="shared" ref="H100:H138" si="24">IF(E100=$H$3,1,0)</f>
        <v>0</v>
      </c>
      <c r="I100" s="3">
        <f t="shared" ref="I100:I138" si="25">IF(E100=$I$3,1,0)</f>
        <v>0</v>
      </c>
      <c r="J100" s="3">
        <f t="shared" ref="J100:J138" si="26">IF(D100=J$3,1,0)</f>
        <v>1</v>
      </c>
      <c r="K100" s="3">
        <f t="shared" ref="K100:K138" si="27">IF(D100=K$3,1,0)</f>
        <v>0</v>
      </c>
      <c r="L100" s="3">
        <f t="shared" ref="L100:L138" si="28">IF(D100=L$3,1,0)</f>
        <v>0</v>
      </c>
      <c r="M100" s="35">
        <f t="shared" ref="M100:M138" si="29">IF(F100="Yes",1,0)</f>
        <v>0</v>
      </c>
      <c r="N100" s="3">
        <v>97</v>
      </c>
      <c r="O100" s="35">
        <f t="shared" si="21"/>
        <v>183.16090653276967</v>
      </c>
      <c r="P100" s="35">
        <f t="shared" si="22"/>
        <v>0.62786323881523887</v>
      </c>
      <c r="Q100" s="48">
        <f t="shared" si="23"/>
        <v>131.69100494879825</v>
      </c>
    </row>
    <row r="101" spans="2:17" x14ac:dyDescent="0.3">
      <c r="B101" s="9">
        <v>42436</v>
      </c>
      <c r="C101" s="3" t="s">
        <v>10</v>
      </c>
      <c r="D101" s="3" t="s">
        <v>14</v>
      </c>
      <c r="E101" s="3" t="s">
        <v>15</v>
      </c>
      <c r="F101" s="5" t="s">
        <v>13</v>
      </c>
      <c r="G101" s="25">
        <v>142</v>
      </c>
      <c r="H101" s="3">
        <f t="shared" si="24"/>
        <v>0</v>
      </c>
      <c r="I101" s="3">
        <f t="shared" si="25"/>
        <v>0</v>
      </c>
      <c r="J101" s="3">
        <f t="shared" si="26"/>
        <v>0</v>
      </c>
      <c r="K101" s="3">
        <f t="shared" si="27"/>
        <v>0</v>
      </c>
      <c r="L101" s="3">
        <f t="shared" si="28"/>
        <v>1</v>
      </c>
      <c r="M101" s="35">
        <f t="shared" si="29"/>
        <v>0</v>
      </c>
      <c r="N101" s="3">
        <v>98</v>
      </c>
      <c r="O101" s="35">
        <f t="shared" si="21"/>
        <v>176.80674405967031</v>
      </c>
      <c r="P101" s="35">
        <f t="shared" si="22"/>
        <v>0.80313678505428832</v>
      </c>
      <c r="Q101" s="48">
        <f t="shared" si="23"/>
        <v>186.56521730911629</v>
      </c>
    </row>
    <row r="102" spans="2:17" x14ac:dyDescent="0.3">
      <c r="B102" s="9">
        <v>42437</v>
      </c>
      <c r="C102" s="3" t="s">
        <v>4</v>
      </c>
      <c r="D102" s="3" t="s">
        <v>26</v>
      </c>
      <c r="E102" s="3" t="s">
        <v>15</v>
      </c>
      <c r="F102" s="5" t="s">
        <v>13</v>
      </c>
      <c r="G102" s="25">
        <v>109</v>
      </c>
      <c r="H102" s="3">
        <f t="shared" si="24"/>
        <v>0</v>
      </c>
      <c r="I102" s="3">
        <f t="shared" si="25"/>
        <v>0</v>
      </c>
      <c r="J102" s="3">
        <f t="shared" si="26"/>
        <v>0</v>
      </c>
      <c r="K102" s="3">
        <f t="shared" si="27"/>
        <v>0</v>
      </c>
      <c r="L102" s="3">
        <f t="shared" si="28"/>
        <v>0</v>
      </c>
      <c r="M102" s="35">
        <f t="shared" si="29"/>
        <v>0</v>
      </c>
      <c r="N102" s="3">
        <v>99</v>
      </c>
      <c r="O102" s="35">
        <f t="shared" si="21"/>
        <v>142.56035456790863</v>
      </c>
      <c r="P102" s="35">
        <f t="shared" si="22"/>
        <v>0.76458844627857492</v>
      </c>
      <c r="Q102" s="48">
        <f t="shared" si="23"/>
        <v>154.43634662206262</v>
      </c>
    </row>
    <row r="103" spans="2:17" x14ac:dyDescent="0.3">
      <c r="B103" s="9">
        <v>42438</v>
      </c>
      <c r="C103" s="3" t="s">
        <v>5</v>
      </c>
      <c r="D103" s="3" t="s">
        <v>26</v>
      </c>
      <c r="E103" s="3" t="s">
        <v>12</v>
      </c>
      <c r="F103" s="5" t="s">
        <v>13</v>
      </c>
      <c r="G103" s="25">
        <v>189</v>
      </c>
      <c r="H103" s="3">
        <f t="shared" si="24"/>
        <v>0</v>
      </c>
      <c r="I103" s="3">
        <f t="shared" si="25"/>
        <v>0</v>
      </c>
      <c r="J103" s="3">
        <f t="shared" si="26"/>
        <v>0</v>
      </c>
      <c r="K103" s="3">
        <f t="shared" si="27"/>
        <v>0</v>
      </c>
      <c r="L103" s="3">
        <f t="shared" si="28"/>
        <v>0</v>
      </c>
      <c r="M103" s="35">
        <f t="shared" si="29"/>
        <v>0</v>
      </c>
      <c r="N103" s="3">
        <v>100</v>
      </c>
      <c r="O103" s="35">
        <f t="shared" si="21"/>
        <v>143.14239862757614</v>
      </c>
      <c r="P103" s="35">
        <f t="shared" si="22"/>
        <v>1.3203635108262708</v>
      </c>
      <c r="Q103" s="48">
        <f t="shared" si="23"/>
        <v>165.58686939571447</v>
      </c>
    </row>
    <row r="104" spans="2:17" x14ac:dyDescent="0.3">
      <c r="B104" s="9">
        <v>42439</v>
      </c>
      <c r="C104" s="3" t="s">
        <v>6</v>
      </c>
      <c r="D104" s="3" t="s">
        <v>31</v>
      </c>
      <c r="E104" s="3" t="s">
        <v>15</v>
      </c>
      <c r="F104" s="5" t="s">
        <v>13</v>
      </c>
      <c r="G104" s="25">
        <v>93</v>
      </c>
      <c r="H104" s="3">
        <f t="shared" si="24"/>
        <v>0</v>
      </c>
      <c r="I104" s="3">
        <f t="shared" si="25"/>
        <v>0</v>
      </c>
      <c r="J104" s="3">
        <f t="shared" si="26"/>
        <v>0</v>
      </c>
      <c r="K104" s="3">
        <f t="shared" si="27"/>
        <v>1</v>
      </c>
      <c r="L104" s="3">
        <f t="shared" si="28"/>
        <v>0</v>
      </c>
      <c r="M104" s="35">
        <f t="shared" si="29"/>
        <v>0</v>
      </c>
      <c r="N104" s="3">
        <v>101</v>
      </c>
      <c r="O104" s="35">
        <f t="shared" si="21"/>
        <v>74.894578183479922</v>
      </c>
      <c r="P104" s="35">
        <f t="shared" si="22"/>
        <v>1.2417454274482278</v>
      </c>
      <c r="Q104" s="48">
        <f t="shared" si="23"/>
        <v>79.985966087802993</v>
      </c>
    </row>
    <row r="105" spans="2:17" x14ac:dyDescent="0.3">
      <c r="B105" s="9">
        <v>42440</v>
      </c>
      <c r="C105" s="3" t="s">
        <v>7</v>
      </c>
      <c r="D105" s="3" t="s">
        <v>14</v>
      </c>
      <c r="E105" s="3" t="s">
        <v>15</v>
      </c>
      <c r="F105" s="5" t="s">
        <v>13</v>
      </c>
      <c r="G105" s="25">
        <v>196</v>
      </c>
      <c r="H105" s="3">
        <f t="shared" si="24"/>
        <v>0</v>
      </c>
      <c r="I105" s="3">
        <f t="shared" si="25"/>
        <v>0</v>
      </c>
      <c r="J105" s="3">
        <f t="shared" si="26"/>
        <v>0</v>
      </c>
      <c r="K105" s="3">
        <f t="shared" si="27"/>
        <v>0</v>
      </c>
      <c r="L105" s="3">
        <f t="shared" si="28"/>
        <v>1</v>
      </c>
      <c r="M105" s="35">
        <f t="shared" si="29"/>
        <v>0</v>
      </c>
      <c r="N105" s="3">
        <v>102</v>
      </c>
      <c r="O105" s="35">
        <f t="shared" si="21"/>
        <v>179.13492029834029</v>
      </c>
      <c r="P105" s="35">
        <f t="shared" si="22"/>
        <v>1.0941473592841182</v>
      </c>
      <c r="Q105" s="48">
        <f t="shared" si="23"/>
        <v>188.99555971805961</v>
      </c>
    </row>
    <row r="106" spans="2:17" x14ac:dyDescent="0.3">
      <c r="B106" s="9">
        <v>42441</v>
      </c>
      <c r="C106" s="3" t="s">
        <v>8</v>
      </c>
      <c r="D106" s="3" t="s">
        <v>26</v>
      </c>
      <c r="E106" s="3" t="s">
        <v>15</v>
      </c>
      <c r="F106" s="5" t="s">
        <v>13</v>
      </c>
      <c r="G106" s="25">
        <v>119</v>
      </c>
      <c r="H106" s="3">
        <f t="shared" si="24"/>
        <v>0</v>
      </c>
      <c r="I106" s="3">
        <f t="shared" si="25"/>
        <v>0</v>
      </c>
      <c r="J106" s="3">
        <f t="shared" si="26"/>
        <v>0</v>
      </c>
      <c r="K106" s="3">
        <f t="shared" si="27"/>
        <v>0</v>
      </c>
      <c r="L106" s="3">
        <f t="shared" si="28"/>
        <v>0</v>
      </c>
      <c r="M106" s="35">
        <f t="shared" si="29"/>
        <v>0</v>
      </c>
      <c r="N106" s="3">
        <v>103</v>
      </c>
      <c r="O106" s="35">
        <f t="shared" si="21"/>
        <v>144.88853080657864</v>
      </c>
      <c r="P106" s="35">
        <f t="shared" si="22"/>
        <v>0.82132104823991237</v>
      </c>
      <c r="Q106" s="48">
        <f t="shared" si="23"/>
        <v>128.86915092804026</v>
      </c>
    </row>
    <row r="107" spans="2:17" x14ac:dyDescent="0.3">
      <c r="B107" s="9">
        <v>42442</v>
      </c>
      <c r="C107" s="3" t="s">
        <v>9</v>
      </c>
      <c r="D107" s="3" t="s">
        <v>26</v>
      </c>
      <c r="E107" s="3" t="s">
        <v>12</v>
      </c>
      <c r="F107" s="5" t="s">
        <v>13</v>
      </c>
      <c r="G107" s="25">
        <v>101</v>
      </c>
      <c r="H107" s="3">
        <f t="shared" si="24"/>
        <v>0</v>
      </c>
      <c r="I107" s="3">
        <f t="shared" si="25"/>
        <v>0</v>
      </c>
      <c r="J107" s="3">
        <f t="shared" si="26"/>
        <v>0</v>
      </c>
      <c r="K107" s="3">
        <f t="shared" si="27"/>
        <v>0</v>
      </c>
      <c r="L107" s="3">
        <f t="shared" si="28"/>
        <v>0</v>
      </c>
      <c r="M107" s="35">
        <f t="shared" si="29"/>
        <v>0</v>
      </c>
      <c r="N107" s="3">
        <v>104</v>
      </c>
      <c r="O107" s="35">
        <f t="shared" si="21"/>
        <v>145.47057486624612</v>
      </c>
      <c r="P107" s="35">
        <f t="shared" si="22"/>
        <v>0.69429848677552219</v>
      </c>
      <c r="Q107" s="48">
        <f t="shared" si="23"/>
        <v>104.59200359541735</v>
      </c>
    </row>
    <row r="108" spans="2:17" x14ac:dyDescent="0.3">
      <c r="B108" s="9">
        <v>42443</v>
      </c>
      <c r="C108" s="3" t="s">
        <v>10</v>
      </c>
      <c r="D108" s="3" t="s">
        <v>11</v>
      </c>
      <c r="E108" s="3" t="s">
        <v>16</v>
      </c>
      <c r="F108" s="5" t="s">
        <v>13</v>
      </c>
      <c r="G108" s="25">
        <v>267</v>
      </c>
      <c r="H108" s="3">
        <f t="shared" si="24"/>
        <v>0</v>
      </c>
      <c r="I108" s="3">
        <f t="shared" si="25"/>
        <v>1</v>
      </c>
      <c r="J108" s="3">
        <f t="shared" si="26"/>
        <v>1</v>
      </c>
      <c r="K108" s="3">
        <f t="shared" si="27"/>
        <v>0</v>
      </c>
      <c r="L108" s="3">
        <f t="shared" si="28"/>
        <v>0</v>
      </c>
      <c r="M108" s="35">
        <f t="shared" si="29"/>
        <v>0</v>
      </c>
      <c r="N108" s="3">
        <v>105</v>
      </c>
      <c r="O108" s="35">
        <f t="shared" si="21"/>
        <v>227.10562989396755</v>
      </c>
      <c r="P108" s="35">
        <f t="shared" si="22"/>
        <v>1.1756643819206885</v>
      </c>
      <c r="Q108" s="48">
        <f t="shared" si="23"/>
        <v>239.64024346827171</v>
      </c>
    </row>
    <row r="109" spans="2:17" x14ac:dyDescent="0.3">
      <c r="B109" s="9">
        <v>42444</v>
      </c>
      <c r="C109" s="3" t="s">
        <v>4</v>
      </c>
      <c r="D109" s="3" t="s">
        <v>14</v>
      </c>
      <c r="E109" s="3" t="s">
        <v>16</v>
      </c>
      <c r="F109" s="5" t="s">
        <v>13</v>
      </c>
      <c r="G109" s="25">
        <v>268</v>
      </c>
      <c r="H109" s="3">
        <f t="shared" si="24"/>
        <v>0</v>
      </c>
      <c r="I109" s="3">
        <f t="shared" si="25"/>
        <v>1</v>
      </c>
      <c r="J109" s="3">
        <f t="shared" si="26"/>
        <v>0</v>
      </c>
      <c r="K109" s="3">
        <f t="shared" si="27"/>
        <v>0</v>
      </c>
      <c r="L109" s="3">
        <f t="shared" si="28"/>
        <v>1</v>
      </c>
      <c r="M109" s="35">
        <f t="shared" si="29"/>
        <v>0</v>
      </c>
      <c r="N109" s="3">
        <v>106</v>
      </c>
      <c r="O109" s="35">
        <f t="shared" si="21"/>
        <v>220.75146742086815</v>
      </c>
      <c r="P109" s="35">
        <f t="shared" si="22"/>
        <v>1.2140349648913153</v>
      </c>
      <c r="Q109" s="48">
        <f t="shared" si="23"/>
        <v>239.14117107290446</v>
      </c>
    </row>
    <row r="110" spans="2:17" x14ac:dyDescent="0.3">
      <c r="B110" s="9">
        <v>42445</v>
      </c>
      <c r="C110" s="3" t="s">
        <v>5</v>
      </c>
      <c r="D110" s="3" t="s">
        <v>14</v>
      </c>
      <c r="E110" s="3" t="s">
        <v>15</v>
      </c>
      <c r="F110" s="5" t="s">
        <v>13</v>
      </c>
      <c r="G110" s="25">
        <v>210</v>
      </c>
      <c r="H110" s="3">
        <f t="shared" si="24"/>
        <v>0</v>
      </c>
      <c r="I110" s="3">
        <f t="shared" si="25"/>
        <v>0</v>
      </c>
      <c r="J110" s="3">
        <f t="shared" si="26"/>
        <v>0</v>
      </c>
      <c r="K110" s="3">
        <f t="shared" si="27"/>
        <v>0</v>
      </c>
      <c r="L110" s="3">
        <f t="shared" si="28"/>
        <v>1</v>
      </c>
      <c r="M110" s="35">
        <f t="shared" si="29"/>
        <v>0</v>
      </c>
      <c r="N110" s="3">
        <v>107</v>
      </c>
      <c r="O110" s="35">
        <f t="shared" si="21"/>
        <v>182.04514059667778</v>
      </c>
      <c r="P110" s="35">
        <f t="shared" si="22"/>
        <v>1.1535600418209262</v>
      </c>
      <c r="Q110" s="48">
        <f t="shared" si="23"/>
        <v>210.58949136750959</v>
      </c>
    </row>
    <row r="111" spans="2:17" x14ac:dyDescent="0.3">
      <c r="B111" s="9">
        <v>42446</v>
      </c>
      <c r="C111" s="3" t="s">
        <v>6</v>
      </c>
      <c r="D111" s="3" t="s">
        <v>14</v>
      </c>
      <c r="E111" s="3" t="s">
        <v>29</v>
      </c>
      <c r="F111" s="5" t="s">
        <v>30</v>
      </c>
      <c r="G111" s="25">
        <v>147</v>
      </c>
      <c r="H111" s="3">
        <f t="shared" si="24"/>
        <v>1</v>
      </c>
      <c r="I111" s="3">
        <f t="shared" si="25"/>
        <v>0</v>
      </c>
      <c r="J111" s="3">
        <f t="shared" si="26"/>
        <v>0</v>
      </c>
      <c r="K111" s="3">
        <f t="shared" si="27"/>
        <v>0</v>
      </c>
      <c r="L111" s="3">
        <f t="shared" si="28"/>
        <v>1</v>
      </c>
      <c r="M111" s="35">
        <f t="shared" si="29"/>
        <v>1</v>
      </c>
      <c r="N111" s="3">
        <v>108</v>
      </c>
      <c r="O111" s="35">
        <f t="shared" si="21"/>
        <v>163.05401910523642</v>
      </c>
      <c r="P111" s="35">
        <f t="shared" si="22"/>
        <v>0.9015417148664393</v>
      </c>
      <c r="Q111" s="48">
        <f t="shared" si="23"/>
        <v>174.13854993188551</v>
      </c>
    </row>
    <row r="112" spans="2:17" x14ac:dyDescent="0.3">
      <c r="B112" s="9">
        <v>42447</v>
      </c>
      <c r="C112" s="3" t="s">
        <v>7</v>
      </c>
      <c r="D112" s="3" t="s">
        <v>14</v>
      </c>
      <c r="E112" s="3" t="s">
        <v>15</v>
      </c>
      <c r="F112" s="5" t="s">
        <v>13</v>
      </c>
      <c r="G112" s="25">
        <v>199</v>
      </c>
      <c r="H112" s="3">
        <f t="shared" si="24"/>
        <v>0</v>
      </c>
      <c r="I112" s="3">
        <f t="shared" si="25"/>
        <v>0</v>
      </c>
      <c r="J112" s="3">
        <f t="shared" si="26"/>
        <v>0</v>
      </c>
      <c r="K112" s="3">
        <f t="shared" si="27"/>
        <v>0</v>
      </c>
      <c r="L112" s="3">
        <f t="shared" si="28"/>
        <v>1</v>
      </c>
      <c r="M112" s="35">
        <f t="shared" si="29"/>
        <v>0</v>
      </c>
      <c r="N112" s="3">
        <v>109</v>
      </c>
      <c r="O112" s="35">
        <f t="shared" si="21"/>
        <v>183.20922871601277</v>
      </c>
      <c r="P112" s="35">
        <f t="shared" si="22"/>
        <v>1.0861898245773636</v>
      </c>
      <c r="Q112" s="48">
        <f t="shared" si="23"/>
        <v>193.2941420300933</v>
      </c>
    </row>
    <row r="113" spans="2:17" x14ac:dyDescent="0.3">
      <c r="B113" s="9">
        <v>42448</v>
      </c>
      <c r="C113" s="3" t="s">
        <v>8</v>
      </c>
      <c r="D113" s="3" t="s">
        <v>11</v>
      </c>
      <c r="E113" s="3" t="s">
        <v>12</v>
      </c>
      <c r="F113" s="5" t="s">
        <v>13</v>
      </c>
      <c r="G113" s="25">
        <v>162</v>
      </c>
      <c r="H113" s="3">
        <f t="shared" si="24"/>
        <v>0</v>
      </c>
      <c r="I113" s="3">
        <f t="shared" si="25"/>
        <v>0</v>
      </c>
      <c r="J113" s="3">
        <f t="shared" si="26"/>
        <v>1</v>
      </c>
      <c r="K113" s="3">
        <f t="shared" si="27"/>
        <v>0</v>
      </c>
      <c r="L113" s="3">
        <f t="shared" si="28"/>
        <v>0</v>
      </c>
      <c r="M113" s="35">
        <f t="shared" si="29"/>
        <v>0</v>
      </c>
      <c r="N113" s="3">
        <v>110</v>
      </c>
      <c r="O113" s="35">
        <f t="shared" si="21"/>
        <v>190.72747930844713</v>
      </c>
      <c r="P113" s="35">
        <f t="shared" si="22"/>
        <v>0.84937944226700202</v>
      </c>
      <c r="Q113" s="48">
        <f t="shared" si="23"/>
        <v>169.639985858763</v>
      </c>
    </row>
    <row r="114" spans="2:17" x14ac:dyDescent="0.3">
      <c r="B114" s="9">
        <v>42449</v>
      </c>
      <c r="C114" s="3" t="s">
        <v>9</v>
      </c>
      <c r="D114" s="3" t="s">
        <v>11</v>
      </c>
      <c r="E114" s="3" t="s">
        <v>12</v>
      </c>
      <c r="F114" s="5" t="s">
        <v>13</v>
      </c>
      <c r="G114" s="25">
        <v>124</v>
      </c>
      <c r="H114" s="3">
        <f t="shared" si="24"/>
        <v>0</v>
      </c>
      <c r="I114" s="3">
        <f t="shared" si="25"/>
        <v>0</v>
      </c>
      <c r="J114" s="3">
        <f t="shared" si="26"/>
        <v>1</v>
      </c>
      <c r="K114" s="3">
        <f t="shared" si="27"/>
        <v>0</v>
      </c>
      <c r="L114" s="3">
        <f t="shared" si="28"/>
        <v>0</v>
      </c>
      <c r="M114" s="35">
        <f t="shared" si="29"/>
        <v>0</v>
      </c>
      <c r="N114" s="3">
        <v>111</v>
      </c>
      <c r="O114" s="35">
        <f t="shared" si="21"/>
        <v>191.30952336811464</v>
      </c>
      <c r="P114" s="35">
        <f t="shared" si="22"/>
        <v>0.64816428276495797</v>
      </c>
      <c r="Q114" s="48">
        <f t="shared" si="23"/>
        <v>137.54978540748357</v>
      </c>
    </row>
    <row r="115" spans="2:17" x14ac:dyDescent="0.3">
      <c r="B115" s="9">
        <v>42450</v>
      </c>
      <c r="C115" s="3" t="s">
        <v>10</v>
      </c>
      <c r="D115" s="3" t="s">
        <v>11</v>
      </c>
      <c r="E115" s="3" t="s">
        <v>16</v>
      </c>
      <c r="F115" s="5" t="s">
        <v>13</v>
      </c>
      <c r="G115" s="25">
        <v>275</v>
      </c>
      <c r="H115" s="3">
        <f t="shared" si="24"/>
        <v>0</v>
      </c>
      <c r="I115" s="3">
        <f t="shared" si="25"/>
        <v>1</v>
      </c>
      <c r="J115" s="3">
        <f t="shared" si="26"/>
        <v>1</v>
      </c>
      <c r="K115" s="3">
        <f t="shared" si="27"/>
        <v>0</v>
      </c>
      <c r="L115" s="3">
        <f t="shared" si="28"/>
        <v>0</v>
      </c>
      <c r="M115" s="35">
        <f t="shared" si="29"/>
        <v>0</v>
      </c>
      <c r="N115" s="3">
        <v>112</v>
      </c>
      <c r="O115" s="35">
        <f t="shared" si="21"/>
        <v>231.17993831164</v>
      </c>
      <c r="P115" s="35">
        <f t="shared" si="22"/>
        <v>1.1895495863888015</v>
      </c>
      <c r="Q115" s="48">
        <f t="shared" si="23"/>
        <v>243.9394246978683</v>
      </c>
    </row>
    <row r="116" spans="2:17" x14ac:dyDescent="0.3">
      <c r="B116" s="9">
        <v>42451</v>
      </c>
      <c r="C116" s="3" t="s">
        <v>4</v>
      </c>
      <c r="D116" s="3" t="s">
        <v>11</v>
      </c>
      <c r="E116" s="3" t="s">
        <v>12</v>
      </c>
      <c r="F116" s="5" t="s">
        <v>13</v>
      </c>
      <c r="G116" s="25">
        <v>214</v>
      </c>
      <c r="H116" s="3">
        <f t="shared" si="24"/>
        <v>0</v>
      </c>
      <c r="I116" s="3">
        <f t="shared" si="25"/>
        <v>0</v>
      </c>
      <c r="J116" s="3">
        <f t="shared" si="26"/>
        <v>1</v>
      </c>
      <c r="K116" s="3">
        <f t="shared" si="27"/>
        <v>0</v>
      </c>
      <c r="L116" s="3">
        <f t="shared" si="28"/>
        <v>0</v>
      </c>
      <c r="M116" s="35">
        <f t="shared" si="29"/>
        <v>0</v>
      </c>
      <c r="N116" s="3">
        <v>113</v>
      </c>
      <c r="O116" s="35">
        <f t="shared" si="21"/>
        <v>192.47361148744963</v>
      </c>
      <c r="P116" s="35">
        <f t="shared" si="22"/>
        <v>1.1118407263530461</v>
      </c>
      <c r="Q116" s="48">
        <f t="shared" si="23"/>
        <v>208.50762801039832</v>
      </c>
    </row>
    <row r="117" spans="2:17" x14ac:dyDescent="0.3">
      <c r="B117" s="9">
        <v>42452</v>
      </c>
      <c r="C117" s="3" t="s">
        <v>5</v>
      </c>
      <c r="D117" s="3" t="s">
        <v>14</v>
      </c>
      <c r="E117" s="3" t="s">
        <v>15</v>
      </c>
      <c r="F117" s="5" t="s">
        <v>13</v>
      </c>
      <c r="G117" s="25">
        <v>215</v>
      </c>
      <c r="H117" s="3">
        <f t="shared" si="24"/>
        <v>0</v>
      </c>
      <c r="I117" s="3">
        <f t="shared" si="25"/>
        <v>0</v>
      </c>
      <c r="J117" s="3">
        <f t="shared" si="26"/>
        <v>0</v>
      </c>
      <c r="K117" s="3">
        <f t="shared" si="27"/>
        <v>0</v>
      </c>
      <c r="L117" s="3">
        <f t="shared" si="28"/>
        <v>1</v>
      </c>
      <c r="M117" s="35">
        <f t="shared" si="29"/>
        <v>0</v>
      </c>
      <c r="N117" s="3">
        <v>114</v>
      </c>
      <c r="O117" s="35">
        <f t="shared" si="21"/>
        <v>186.11944901435027</v>
      </c>
      <c r="P117" s="35">
        <f t="shared" si="22"/>
        <v>1.1551721281069502</v>
      </c>
      <c r="Q117" s="48">
        <f t="shared" si="23"/>
        <v>215.30264402041632</v>
      </c>
    </row>
    <row r="118" spans="2:17" x14ac:dyDescent="0.3">
      <c r="B118" s="9">
        <v>42453</v>
      </c>
      <c r="C118" s="3" t="s">
        <v>6</v>
      </c>
      <c r="D118" s="3" t="s">
        <v>14</v>
      </c>
      <c r="E118" s="3" t="s">
        <v>15</v>
      </c>
      <c r="F118" s="5" t="s">
        <v>13</v>
      </c>
      <c r="G118" s="25">
        <v>202</v>
      </c>
      <c r="H118" s="3">
        <f t="shared" si="24"/>
        <v>0</v>
      </c>
      <c r="I118" s="3">
        <f t="shared" si="25"/>
        <v>0</v>
      </c>
      <c r="J118" s="3">
        <f t="shared" si="26"/>
        <v>0</v>
      </c>
      <c r="K118" s="3">
        <f t="shared" si="27"/>
        <v>0</v>
      </c>
      <c r="L118" s="3">
        <f t="shared" si="28"/>
        <v>1</v>
      </c>
      <c r="M118" s="35">
        <f t="shared" si="29"/>
        <v>0</v>
      </c>
      <c r="N118" s="3">
        <v>115</v>
      </c>
      <c r="O118" s="35">
        <f t="shared" si="21"/>
        <v>186.70149307401778</v>
      </c>
      <c r="P118" s="35">
        <f t="shared" si="22"/>
        <v>1.0819409993679971</v>
      </c>
      <c r="Q118" s="48">
        <f t="shared" si="23"/>
        <v>199.39359638258259</v>
      </c>
    </row>
    <row r="119" spans="2:17" x14ac:dyDescent="0.3">
      <c r="B119" s="9">
        <v>42454</v>
      </c>
      <c r="C119" s="3" t="s">
        <v>7</v>
      </c>
      <c r="D119" s="3" t="s">
        <v>11</v>
      </c>
      <c r="E119" s="3" t="s">
        <v>16</v>
      </c>
      <c r="F119" s="5" t="s">
        <v>30</v>
      </c>
      <c r="G119" s="25">
        <v>145</v>
      </c>
      <c r="H119" s="3">
        <f t="shared" si="24"/>
        <v>0</v>
      </c>
      <c r="I119" s="3">
        <f t="shared" si="25"/>
        <v>1</v>
      </c>
      <c r="J119" s="3">
        <f t="shared" si="26"/>
        <v>1</v>
      </c>
      <c r="K119" s="3">
        <f t="shared" si="27"/>
        <v>0</v>
      </c>
      <c r="L119" s="3">
        <f t="shared" si="28"/>
        <v>0</v>
      </c>
      <c r="M119" s="35">
        <f t="shared" si="29"/>
        <v>1</v>
      </c>
      <c r="N119" s="3">
        <v>116</v>
      </c>
      <c r="O119" s="35">
        <f t="shared" si="21"/>
        <v>169.92489262694525</v>
      </c>
      <c r="P119" s="35">
        <f t="shared" si="22"/>
        <v>0.8533181793342921</v>
      </c>
      <c r="Q119" s="48">
        <f t="shared" si="23"/>
        <v>179.27855796387817</v>
      </c>
    </row>
    <row r="120" spans="2:17" x14ac:dyDescent="0.3">
      <c r="B120" s="9">
        <v>42455</v>
      </c>
      <c r="C120" s="3" t="s">
        <v>8</v>
      </c>
      <c r="D120" s="3" t="s">
        <v>11</v>
      </c>
      <c r="E120" s="3" t="s">
        <v>15</v>
      </c>
      <c r="F120" s="5" t="s">
        <v>13</v>
      </c>
      <c r="G120" s="25">
        <v>165</v>
      </c>
      <c r="H120" s="3">
        <f t="shared" si="24"/>
        <v>0</v>
      </c>
      <c r="I120" s="3">
        <f t="shared" si="25"/>
        <v>0</v>
      </c>
      <c r="J120" s="3">
        <f t="shared" si="26"/>
        <v>1</v>
      </c>
      <c r="K120" s="3">
        <f t="shared" si="27"/>
        <v>0</v>
      </c>
      <c r="L120" s="3">
        <f t="shared" si="28"/>
        <v>0</v>
      </c>
      <c r="M120" s="35">
        <f t="shared" si="29"/>
        <v>0</v>
      </c>
      <c r="N120" s="3">
        <v>117</v>
      </c>
      <c r="O120" s="35">
        <f t="shared" si="21"/>
        <v>194.80178772611964</v>
      </c>
      <c r="P120" s="35">
        <f t="shared" si="22"/>
        <v>0.84701481401177237</v>
      </c>
      <c r="Q120" s="48">
        <f t="shared" si="23"/>
        <v>173.26382456760706</v>
      </c>
    </row>
    <row r="121" spans="2:17" x14ac:dyDescent="0.3">
      <c r="B121" s="9">
        <v>42456</v>
      </c>
      <c r="C121" s="3" t="s">
        <v>9</v>
      </c>
      <c r="D121" s="3" t="s">
        <v>11</v>
      </c>
      <c r="E121" s="3" t="s">
        <v>15</v>
      </c>
      <c r="F121" s="5" t="s">
        <v>30</v>
      </c>
      <c r="G121" s="25">
        <v>96</v>
      </c>
      <c r="H121" s="3">
        <f t="shared" si="24"/>
        <v>0</v>
      </c>
      <c r="I121" s="3">
        <f t="shared" si="25"/>
        <v>0</v>
      </c>
      <c r="J121" s="3">
        <f t="shared" si="26"/>
        <v>1</v>
      </c>
      <c r="K121" s="3">
        <f t="shared" si="27"/>
        <v>0</v>
      </c>
      <c r="L121" s="3">
        <f t="shared" si="28"/>
        <v>0</v>
      </c>
      <c r="M121" s="35">
        <f t="shared" si="29"/>
        <v>1</v>
      </c>
      <c r="N121" s="3">
        <v>118</v>
      </c>
      <c r="O121" s="35">
        <f t="shared" si="21"/>
        <v>131.80060986242236</v>
      </c>
      <c r="P121" s="35">
        <f t="shared" si="22"/>
        <v>0.7283729574560226</v>
      </c>
      <c r="Q121" s="48">
        <f t="shared" si="23"/>
        <v>94.763424653292631</v>
      </c>
    </row>
    <row r="122" spans="2:17" x14ac:dyDescent="0.3">
      <c r="B122" s="9">
        <v>42457</v>
      </c>
      <c r="C122" s="3" t="s">
        <v>10</v>
      </c>
      <c r="D122" s="3" t="s">
        <v>11</v>
      </c>
      <c r="E122" s="3" t="s">
        <v>16</v>
      </c>
      <c r="F122" s="5" t="s">
        <v>13</v>
      </c>
      <c r="G122" s="25">
        <v>277</v>
      </c>
      <c r="H122" s="3">
        <f t="shared" si="24"/>
        <v>0</v>
      </c>
      <c r="I122" s="3">
        <f t="shared" si="25"/>
        <v>1</v>
      </c>
      <c r="J122" s="3">
        <f t="shared" si="26"/>
        <v>1</v>
      </c>
      <c r="K122" s="3">
        <f t="shared" si="27"/>
        <v>0</v>
      </c>
      <c r="L122" s="3">
        <f t="shared" si="28"/>
        <v>0</v>
      </c>
      <c r="M122" s="35">
        <f t="shared" si="29"/>
        <v>0</v>
      </c>
      <c r="N122" s="3">
        <v>119</v>
      </c>
      <c r="O122" s="35">
        <f t="shared" si="21"/>
        <v>235.25424672931251</v>
      </c>
      <c r="P122" s="35">
        <f t="shared" si="22"/>
        <v>1.1774495204701696</v>
      </c>
      <c r="Q122" s="48">
        <f t="shared" si="23"/>
        <v>248.23860592746496</v>
      </c>
    </row>
    <row r="123" spans="2:17" x14ac:dyDescent="0.3">
      <c r="B123" s="9">
        <v>42458</v>
      </c>
      <c r="C123" s="3" t="s">
        <v>4</v>
      </c>
      <c r="D123" s="3" t="s">
        <v>14</v>
      </c>
      <c r="E123" s="3" t="s">
        <v>15</v>
      </c>
      <c r="F123" s="5" t="s">
        <v>13</v>
      </c>
      <c r="G123" s="25">
        <v>207</v>
      </c>
      <c r="H123" s="3">
        <f t="shared" si="24"/>
        <v>0</v>
      </c>
      <c r="I123" s="3">
        <f t="shared" si="25"/>
        <v>0</v>
      </c>
      <c r="J123" s="3">
        <f t="shared" si="26"/>
        <v>0</v>
      </c>
      <c r="K123" s="3">
        <f t="shared" si="27"/>
        <v>0</v>
      </c>
      <c r="L123" s="3">
        <f t="shared" si="28"/>
        <v>1</v>
      </c>
      <c r="M123" s="35">
        <f t="shared" si="29"/>
        <v>0</v>
      </c>
      <c r="N123" s="3">
        <v>120</v>
      </c>
      <c r="O123" s="35">
        <f t="shared" si="21"/>
        <v>189.61171337235524</v>
      </c>
      <c r="P123" s="35">
        <f t="shared" si="22"/>
        <v>1.0917047070478079</v>
      </c>
      <c r="Q123" s="48">
        <f t="shared" si="23"/>
        <v>205.40731943835974</v>
      </c>
    </row>
    <row r="124" spans="2:17" x14ac:dyDescent="0.3">
      <c r="B124" s="9">
        <v>42459</v>
      </c>
      <c r="C124" s="3" t="s">
        <v>5</v>
      </c>
      <c r="D124" s="3" t="s">
        <v>14</v>
      </c>
      <c r="E124" s="3" t="s">
        <v>12</v>
      </c>
      <c r="F124" s="5" t="s">
        <v>13</v>
      </c>
      <c r="G124" s="25">
        <v>227</v>
      </c>
      <c r="H124" s="3">
        <f t="shared" si="24"/>
        <v>0</v>
      </c>
      <c r="I124" s="3">
        <f t="shared" si="25"/>
        <v>0</v>
      </c>
      <c r="J124" s="3">
        <f t="shared" si="26"/>
        <v>0</v>
      </c>
      <c r="K124" s="3">
        <f t="shared" si="27"/>
        <v>0</v>
      </c>
      <c r="L124" s="3">
        <f t="shared" si="28"/>
        <v>1</v>
      </c>
      <c r="M124" s="35">
        <f t="shared" si="29"/>
        <v>0</v>
      </c>
      <c r="N124" s="3">
        <v>121</v>
      </c>
      <c r="O124" s="35">
        <f t="shared" si="21"/>
        <v>190.19375743202272</v>
      </c>
      <c r="P124" s="35">
        <f t="shared" si="22"/>
        <v>1.1935197193900131</v>
      </c>
      <c r="Q124" s="48">
        <f t="shared" si="23"/>
        <v>220.01579667332302</v>
      </c>
    </row>
    <row r="125" spans="2:17" x14ac:dyDescent="0.3">
      <c r="B125" s="9">
        <v>42460</v>
      </c>
      <c r="C125" s="3" t="s">
        <v>6</v>
      </c>
      <c r="D125" s="3" t="s">
        <v>31</v>
      </c>
      <c r="E125" s="3" t="s">
        <v>15</v>
      </c>
      <c r="F125" s="5" t="s">
        <v>13</v>
      </c>
      <c r="G125" s="25">
        <v>94</v>
      </c>
      <c r="H125" s="3">
        <f t="shared" si="24"/>
        <v>0</v>
      </c>
      <c r="I125" s="3">
        <f t="shared" si="25"/>
        <v>0</v>
      </c>
      <c r="J125" s="3">
        <f t="shared" si="26"/>
        <v>0</v>
      </c>
      <c r="K125" s="3">
        <f t="shared" si="27"/>
        <v>1</v>
      </c>
      <c r="L125" s="3">
        <f t="shared" si="28"/>
        <v>0</v>
      </c>
      <c r="M125" s="35">
        <f t="shared" si="29"/>
        <v>0</v>
      </c>
      <c r="N125" s="3">
        <v>122</v>
      </c>
      <c r="O125" s="35">
        <f t="shared" si="21"/>
        <v>87.117503436497344</v>
      </c>
      <c r="P125" s="35">
        <f t="shared" si="22"/>
        <v>1.0790024540650378</v>
      </c>
      <c r="Q125" s="48">
        <f t="shared" si="23"/>
        <v>93.039814690654893</v>
      </c>
    </row>
    <row r="126" spans="2:17" x14ac:dyDescent="0.3">
      <c r="B126" s="9">
        <v>42461</v>
      </c>
      <c r="C126" s="3" t="s">
        <v>7</v>
      </c>
      <c r="D126" s="3" t="s">
        <v>31</v>
      </c>
      <c r="E126" s="3" t="s">
        <v>16</v>
      </c>
      <c r="F126" s="5" t="s">
        <v>13</v>
      </c>
      <c r="G126" s="25">
        <v>102</v>
      </c>
      <c r="H126" s="3">
        <f t="shared" si="24"/>
        <v>0</v>
      </c>
      <c r="I126" s="3">
        <f t="shared" si="25"/>
        <v>1</v>
      </c>
      <c r="J126" s="3">
        <f t="shared" si="26"/>
        <v>0</v>
      </c>
      <c r="K126" s="3">
        <f t="shared" si="27"/>
        <v>1</v>
      </c>
      <c r="L126" s="3">
        <f t="shared" si="28"/>
        <v>0</v>
      </c>
      <c r="M126" s="35">
        <f t="shared" si="29"/>
        <v>0</v>
      </c>
      <c r="N126" s="3">
        <v>123</v>
      </c>
      <c r="O126" s="35">
        <f t="shared" si="21"/>
        <v>126.98791838002272</v>
      </c>
      <c r="P126" s="35">
        <f t="shared" si="22"/>
        <v>0.80322601788585801</v>
      </c>
      <c r="Q126" s="48">
        <f t="shared" si="23"/>
        <v>133.97808016266512</v>
      </c>
    </row>
    <row r="127" spans="2:17" x14ac:dyDescent="0.3">
      <c r="B127" s="9">
        <v>42462</v>
      </c>
      <c r="C127" s="3" t="s">
        <v>8</v>
      </c>
      <c r="D127" s="3" t="s">
        <v>14</v>
      </c>
      <c r="E127" s="3" t="s">
        <v>16</v>
      </c>
      <c r="F127" s="5" t="s">
        <v>13</v>
      </c>
      <c r="G127" s="25">
        <v>209</v>
      </c>
      <c r="H127" s="3">
        <f t="shared" si="24"/>
        <v>0</v>
      </c>
      <c r="I127" s="3">
        <f t="shared" si="25"/>
        <v>1</v>
      </c>
      <c r="J127" s="3">
        <f t="shared" si="26"/>
        <v>0</v>
      </c>
      <c r="K127" s="3">
        <f t="shared" si="27"/>
        <v>0</v>
      </c>
      <c r="L127" s="3">
        <f t="shared" si="28"/>
        <v>1</v>
      </c>
      <c r="M127" s="35">
        <f t="shared" si="29"/>
        <v>0</v>
      </c>
      <c r="N127" s="3">
        <v>124</v>
      </c>
      <c r="O127" s="35">
        <f t="shared" si="21"/>
        <v>231.2282604948831</v>
      </c>
      <c r="P127" s="35">
        <f t="shared" si="22"/>
        <v>0.90386875528402377</v>
      </c>
      <c r="Q127" s="48">
        <f t="shared" si="23"/>
        <v>205.66285981823427</v>
      </c>
    </row>
    <row r="128" spans="2:17" ht="15" thickBot="1" x14ac:dyDescent="0.35">
      <c r="B128" s="10">
        <v>42463</v>
      </c>
      <c r="C128" s="7" t="s">
        <v>9</v>
      </c>
      <c r="D128" s="7" t="s">
        <v>11</v>
      </c>
      <c r="E128" s="7" t="s">
        <v>29</v>
      </c>
      <c r="F128" s="8" t="s">
        <v>13</v>
      </c>
      <c r="G128" s="27">
        <v>162</v>
      </c>
      <c r="H128" s="7">
        <f t="shared" si="24"/>
        <v>1</v>
      </c>
      <c r="I128" s="7">
        <f t="shared" si="25"/>
        <v>0</v>
      </c>
      <c r="J128" s="7">
        <f t="shared" si="26"/>
        <v>1</v>
      </c>
      <c r="K128" s="7">
        <f t="shared" si="27"/>
        <v>0</v>
      </c>
      <c r="L128" s="7">
        <f t="shared" si="28"/>
        <v>0</v>
      </c>
      <c r="M128" s="50">
        <f t="shared" si="29"/>
        <v>0</v>
      </c>
      <c r="N128" s="7">
        <v>125</v>
      </c>
      <c r="O128" s="50">
        <f t="shared" si="21"/>
        <v>243.46819657571552</v>
      </c>
      <c r="P128" s="50">
        <f t="shared" si="22"/>
        <v>0.66538464685928722</v>
      </c>
      <c r="Q128" s="43">
        <f t="shared" si="23"/>
        <v>175.0513910805042</v>
      </c>
    </row>
    <row r="129" spans="2:17" ht="15" thickBot="1" x14ac:dyDescent="0.35">
      <c r="B129" s="36">
        <v>42464</v>
      </c>
      <c r="C129" t="s">
        <v>10</v>
      </c>
      <c r="D129" t="s">
        <v>11</v>
      </c>
      <c r="E129" t="s">
        <v>70</v>
      </c>
      <c r="F129" t="s">
        <v>30</v>
      </c>
      <c r="G129">
        <v>200</v>
      </c>
      <c r="H129" s="7">
        <f t="shared" si="24"/>
        <v>0</v>
      </c>
      <c r="I129" s="7">
        <f t="shared" si="25"/>
        <v>0</v>
      </c>
      <c r="J129" s="7">
        <f t="shared" si="26"/>
        <v>1</v>
      </c>
      <c r="K129" s="7">
        <f t="shared" si="27"/>
        <v>0</v>
      </c>
      <c r="L129" s="7">
        <f t="shared" si="28"/>
        <v>0</v>
      </c>
      <c r="M129" s="50">
        <f t="shared" si="29"/>
        <v>1</v>
      </c>
      <c r="N129" s="7">
        <v>125</v>
      </c>
      <c r="O129" s="50">
        <f t="shared" si="21"/>
        <v>135.87491828009485</v>
      </c>
      <c r="P129" s="50">
        <f t="shared" si="22"/>
        <v>1.4719420076317296</v>
      </c>
      <c r="Q129" s="43">
        <f t="shared" si="23"/>
        <v>143.37424621783165</v>
      </c>
    </row>
    <row r="130" spans="2:17" ht="15" thickBot="1" x14ac:dyDescent="0.35">
      <c r="B130" s="36">
        <v>42465</v>
      </c>
      <c r="C130" t="s">
        <v>4</v>
      </c>
      <c r="D130" t="s">
        <v>14</v>
      </c>
      <c r="E130" t="s">
        <v>32</v>
      </c>
      <c r="F130" t="s">
        <v>13</v>
      </c>
      <c r="G130">
        <v>159</v>
      </c>
      <c r="H130" s="7">
        <f t="shared" si="24"/>
        <v>1</v>
      </c>
      <c r="I130" s="7">
        <f t="shared" si="25"/>
        <v>0</v>
      </c>
      <c r="J130" s="7">
        <f t="shared" si="26"/>
        <v>0</v>
      </c>
      <c r="K130" s="7">
        <f t="shared" si="27"/>
        <v>0</v>
      </c>
      <c r="L130" s="7">
        <f t="shared" si="28"/>
        <v>1</v>
      </c>
      <c r="M130" s="50">
        <f t="shared" si="29"/>
        <v>0</v>
      </c>
      <c r="N130" s="7">
        <v>125</v>
      </c>
      <c r="O130" s="50">
        <f t="shared" si="21"/>
        <v>236.53199004294865</v>
      </c>
      <c r="P130" s="50">
        <f t="shared" si="22"/>
        <v>0.6722135131536725</v>
      </c>
      <c r="Q130" s="43">
        <f t="shared" si="23"/>
        <v>256.23629032206441</v>
      </c>
    </row>
    <row r="131" spans="2:17" ht="15" thickBot="1" x14ac:dyDescent="0.35">
      <c r="B131" s="36">
        <v>42466</v>
      </c>
      <c r="C131" t="s">
        <v>5</v>
      </c>
      <c r="D131" t="s">
        <v>11</v>
      </c>
      <c r="E131" t="s">
        <v>70</v>
      </c>
      <c r="F131" t="s">
        <v>30</v>
      </c>
      <c r="G131">
        <v>441</v>
      </c>
      <c r="H131" s="7">
        <f t="shared" si="24"/>
        <v>0</v>
      </c>
      <c r="I131" s="7">
        <f t="shared" si="25"/>
        <v>0</v>
      </c>
      <c r="J131" s="7">
        <f t="shared" si="26"/>
        <v>1</v>
      </c>
      <c r="K131" s="7">
        <f t="shared" si="27"/>
        <v>0</v>
      </c>
      <c r="L131" s="7">
        <f t="shared" si="28"/>
        <v>0</v>
      </c>
      <c r="M131" s="50">
        <f t="shared" si="29"/>
        <v>1</v>
      </c>
      <c r="N131" s="7">
        <v>125</v>
      </c>
      <c r="O131" s="50">
        <f t="shared" si="21"/>
        <v>135.87491828009485</v>
      </c>
      <c r="P131" s="50">
        <f t="shared" si="22"/>
        <v>3.2456321268279638</v>
      </c>
      <c r="Q131" s="43">
        <f t="shared" si="23"/>
        <v>157.17986119498372</v>
      </c>
    </row>
    <row r="132" spans="2:17" ht="15" thickBot="1" x14ac:dyDescent="0.35">
      <c r="B132" s="36">
        <v>42467</v>
      </c>
      <c r="C132" t="s">
        <v>6</v>
      </c>
      <c r="D132" t="s">
        <v>11</v>
      </c>
      <c r="E132" t="s">
        <v>70</v>
      </c>
      <c r="F132" t="s">
        <v>30</v>
      </c>
      <c r="G132">
        <v>456</v>
      </c>
      <c r="H132" s="7">
        <f t="shared" si="24"/>
        <v>0</v>
      </c>
      <c r="I132" s="7">
        <f t="shared" si="25"/>
        <v>0</v>
      </c>
      <c r="J132" s="7">
        <f t="shared" si="26"/>
        <v>1</v>
      </c>
      <c r="K132" s="7">
        <f t="shared" si="27"/>
        <v>0</v>
      </c>
      <c r="L132" s="7">
        <f t="shared" si="28"/>
        <v>0</v>
      </c>
      <c r="M132" s="50">
        <f t="shared" si="29"/>
        <v>1</v>
      </c>
      <c r="N132" s="7">
        <v>125</v>
      </c>
      <c r="O132" s="50">
        <f t="shared" si="21"/>
        <v>135.87491828009485</v>
      </c>
      <c r="P132" s="50">
        <f t="shared" si="22"/>
        <v>3.3560277774003433</v>
      </c>
      <c r="Q132" s="43">
        <f t="shared" si="23"/>
        <v>145.11179406217587</v>
      </c>
    </row>
    <row r="133" spans="2:17" ht="15" thickBot="1" x14ac:dyDescent="0.35">
      <c r="B133" s="36">
        <v>42468</v>
      </c>
      <c r="C133" t="s">
        <v>7</v>
      </c>
      <c r="D133" t="s">
        <v>26</v>
      </c>
      <c r="E133" t="s">
        <v>70</v>
      </c>
      <c r="F133" t="s">
        <v>30</v>
      </c>
      <c r="G133">
        <v>200</v>
      </c>
      <c r="H133" s="7">
        <f t="shared" si="24"/>
        <v>0</v>
      </c>
      <c r="I133" s="7">
        <f t="shared" si="25"/>
        <v>0</v>
      </c>
      <c r="J133" s="7">
        <f t="shared" si="26"/>
        <v>0</v>
      </c>
      <c r="K133" s="7">
        <f t="shared" si="27"/>
        <v>0</v>
      </c>
      <c r="L133" s="7">
        <f t="shared" si="28"/>
        <v>0</v>
      </c>
      <c r="M133" s="50">
        <f t="shared" si="29"/>
        <v>1</v>
      </c>
      <c r="N133" s="7">
        <v>125</v>
      </c>
      <c r="O133" s="50">
        <f t="shared" si="21"/>
        <v>94.110278195898815</v>
      </c>
      <c r="P133" s="50">
        <f t="shared" si="22"/>
        <v>2.125166388135443</v>
      </c>
      <c r="Q133" s="43">
        <f t="shared" si="23"/>
        <v>99.290661325183237</v>
      </c>
    </row>
    <row r="134" spans="2:17" ht="15" thickBot="1" x14ac:dyDescent="0.35">
      <c r="B134" s="36">
        <v>42469</v>
      </c>
      <c r="C134" t="s">
        <v>8</v>
      </c>
      <c r="D134" t="s">
        <v>11</v>
      </c>
      <c r="E134" t="s">
        <v>70</v>
      </c>
      <c r="F134" t="s">
        <v>30</v>
      </c>
      <c r="G134">
        <v>8</v>
      </c>
      <c r="H134" s="7">
        <f t="shared" si="24"/>
        <v>0</v>
      </c>
      <c r="I134" s="7">
        <f t="shared" si="25"/>
        <v>0</v>
      </c>
      <c r="J134" s="7">
        <f t="shared" si="26"/>
        <v>1</v>
      </c>
      <c r="K134" s="7">
        <f t="shared" si="27"/>
        <v>0</v>
      </c>
      <c r="L134" s="7">
        <f t="shared" si="28"/>
        <v>0</v>
      </c>
      <c r="M134" s="50">
        <f t="shared" si="29"/>
        <v>1</v>
      </c>
      <c r="N134" s="7">
        <v>125</v>
      </c>
      <c r="O134" s="50">
        <f t="shared" si="21"/>
        <v>135.87491828009485</v>
      </c>
      <c r="P134" s="50">
        <f t="shared" si="22"/>
        <v>5.887768030526918E-2</v>
      </c>
      <c r="Q134" s="43">
        <f t="shared" si="23"/>
        <v>120.8521147512225</v>
      </c>
    </row>
    <row r="135" spans="2:17" ht="15" thickBot="1" x14ac:dyDescent="0.35">
      <c r="B135" s="36">
        <v>42470</v>
      </c>
      <c r="C135" t="s">
        <v>9</v>
      </c>
      <c r="D135" t="s">
        <v>26</v>
      </c>
      <c r="E135" t="s">
        <v>70</v>
      </c>
      <c r="F135" t="s">
        <v>30</v>
      </c>
      <c r="G135">
        <v>151</v>
      </c>
      <c r="H135" s="7">
        <f t="shared" si="24"/>
        <v>0</v>
      </c>
      <c r="I135" s="7">
        <f t="shared" si="25"/>
        <v>0</v>
      </c>
      <c r="J135" s="7">
        <f t="shared" si="26"/>
        <v>0</v>
      </c>
      <c r="K135" s="7">
        <f t="shared" si="27"/>
        <v>0</v>
      </c>
      <c r="L135" s="7">
        <f t="shared" si="28"/>
        <v>0</v>
      </c>
      <c r="M135" s="50">
        <f t="shared" si="29"/>
        <v>1</v>
      </c>
      <c r="N135" s="7">
        <v>125</v>
      </c>
      <c r="O135" s="50">
        <f t="shared" si="21"/>
        <v>94.110278195898815</v>
      </c>
      <c r="P135" s="50">
        <f t="shared" si="22"/>
        <v>1.6045006230422594</v>
      </c>
      <c r="Q135" s="43">
        <f t="shared" si="23"/>
        <v>67.664423299911718</v>
      </c>
    </row>
    <row r="136" spans="2:17" ht="15" thickBot="1" x14ac:dyDescent="0.35">
      <c r="B136" s="36">
        <v>42471</v>
      </c>
      <c r="C136" t="s">
        <v>10</v>
      </c>
      <c r="D136" t="s">
        <v>11</v>
      </c>
      <c r="E136" t="s">
        <v>70</v>
      </c>
      <c r="F136" t="s">
        <v>30</v>
      </c>
      <c r="G136">
        <v>151</v>
      </c>
      <c r="H136" s="7">
        <f t="shared" si="24"/>
        <v>0</v>
      </c>
      <c r="I136" s="7">
        <f t="shared" si="25"/>
        <v>0</v>
      </c>
      <c r="J136" s="7">
        <f t="shared" si="26"/>
        <v>1</v>
      </c>
      <c r="K136" s="7">
        <f t="shared" si="27"/>
        <v>0</v>
      </c>
      <c r="L136" s="7">
        <f t="shared" si="28"/>
        <v>0</v>
      </c>
      <c r="M136" s="50">
        <f t="shared" si="29"/>
        <v>1</v>
      </c>
      <c r="N136" s="7">
        <v>125</v>
      </c>
      <c r="O136" s="50">
        <f t="shared" si="21"/>
        <v>135.87491828009485</v>
      </c>
      <c r="P136" s="50">
        <f t="shared" si="22"/>
        <v>1.1113162157619558</v>
      </c>
      <c r="Q136" s="43">
        <f t="shared" si="23"/>
        <v>143.37424621783165</v>
      </c>
    </row>
    <row r="137" spans="2:17" ht="15" thickBot="1" x14ac:dyDescent="0.35">
      <c r="B137" s="36">
        <v>42472</v>
      </c>
      <c r="C137" t="s">
        <v>4</v>
      </c>
      <c r="D137" t="s">
        <v>26</v>
      </c>
      <c r="E137" t="s">
        <v>70</v>
      </c>
      <c r="F137" t="s">
        <v>30</v>
      </c>
      <c r="G137">
        <v>152</v>
      </c>
      <c r="H137" s="7">
        <f t="shared" si="24"/>
        <v>0</v>
      </c>
      <c r="I137" s="7">
        <f t="shared" si="25"/>
        <v>0</v>
      </c>
      <c r="J137" s="7">
        <f t="shared" si="26"/>
        <v>0</v>
      </c>
      <c r="K137" s="7">
        <f t="shared" si="27"/>
        <v>0</v>
      </c>
      <c r="L137" s="7">
        <f t="shared" si="28"/>
        <v>0</v>
      </c>
      <c r="M137" s="50">
        <f t="shared" si="29"/>
        <v>1</v>
      </c>
      <c r="N137" s="7">
        <v>125</v>
      </c>
      <c r="O137" s="50">
        <f t="shared" si="21"/>
        <v>94.110278195898815</v>
      </c>
      <c r="P137" s="50">
        <f t="shared" si="22"/>
        <v>1.6151264549829365</v>
      </c>
      <c r="Q137" s="43">
        <f t="shared" si="23"/>
        <v>101.95013605439144</v>
      </c>
    </row>
    <row r="138" spans="2:17" ht="15" thickBot="1" x14ac:dyDescent="0.35">
      <c r="B138" s="36">
        <v>42473</v>
      </c>
      <c r="C138" t="s">
        <v>5</v>
      </c>
      <c r="D138" t="s">
        <v>11</v>
      </c>
      <c r="E138" t="s">
        <v>32</v>
      </c>
      <c r="F138" t="s">
        <v>30</v>
      </c>
      <c r="G138">
        <v>154</v>
      </c>
      <c r="H138" s="7">
        <f t="shared" si="24"/>
        <v>1</v>
      </c>
      <c r="I138" s="7">
        <f t="shared" si="25"/>
        <v>0</v>
      </c>
      <c r="J138" s="7">
        <f t="shared" si="26"/>
        <v>1</v>
      </c>
      <c r="K138" s="7">
        <f t="shared" si="27"/>
        <v>0</v>
      </c>
      <c r="L138" s="7">
        <f t="shared" si="28"/>
        <v>0</v>
      </c>
      <c r="M138" s="50">
        <f t="shared" si="29"/>
        <v>1</v>
      </c>
      <c r="N138" s="7">
        <v>125</v>
      </c>
      <c r="O138" s="50">
        <f t="shared" si="21"/>
        <v>179.88497465235076</v>
      </c>
      <c r="P138" s="50">
        <f t="shared" si="22"/>
        <v>0.85610263057058222</v>
      </c>
      <c r="Q138" s="43">
        <f t="shared" si="23"/>
        <v>208.09061528658694</v>
      </c>
    </row>
  </sheetData>
  <mergeCells count="2">
    <mergeCell ref="D2:F2"/>
    <mergeCell ref="G2:L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Y138"/>
  <sheetViews>
    <sheetView topLeftCell="B2" workbookViewId="0">
      <selection activeCell="J3" sqref="J3"/>
    </sheetView>
  </sheetViews>
  <sheetFormatPr defaultRowHeight="14.4" x14ac:dyDescent="0.3"/>
  <cols>
    <col min="18" max="18" width="14.6640625" customWidth="1"/>
  </cols>
  <sheetData>
    <row r="1" spans="2:22" ht="15" thickBot="1" x14ac:dyDescent="0.35"/>
    <row r="2" spans="2:22" ht="15" thickBot="1" x14ac:dyDescent="0.35">
      <c r="B2" s="2"/>
      <c r="C2" s="1"/>
      <c r="D2" s="61" t="s">
        <v>1</v>
      </c>
      <c r="E2" s="59"/>
      <c r="F2" s="60"/>
      <c r="G2" s="58" t="s">
        <v>27</v>
      </c>
      <c r="H2" s="59"/>
      <c r="I2" s="59"/>
      <c r="J2" s="59"/>
    </row>
    <row r="3" spans="2:22" x14ac:dyDescent="0.3">
      <c r="B3" s="53" t="s">
        <v>0</v>
      </c>
      <c r="C3" s="46" t="s">
        <v>25</v>
      </c>
      <c r="D3" s="46" t="s">
        <v>2</v>
      </c>
      <c r="E3" s="46" t="s">
        <v>3</v>
      </c>
      <c r="F3" s="47" t="s">
        <v>28</v>
      </c>
      <c r="G3" s="56" t="s">
        <v>24</v>
      </c>
      <c r="H3" s="46" t="s">
        <v>32</v>
      </c>
      <c r="I3" s="46" t="s">
        <v>16</v>
      </c>
      <c r="J3" s="46" t="s">
        <v>11</v>
      </c>
      <c r="K3" s="46" t="s">
        <v>33</v>
      </c>
      <c r="L3" s="46" t="s">
        <v>34</v>
      </c>
      <c r="M3" s="46" t="s">
        <v>58</v>
      </c>
      <c r="N3" s="46" t="s">
        <v>63</v>
      </c>
      <c r="O3" s="47" t="s">
        <v>66</v>
      </c>
      <c r="Q3" t="s">
        <v>35</v>
      </c>
    </row>
    <row r="4" spans="2:22" ht="15" thickBot="1" x14ac:dyDescent="0.35">
      <c r="B4" s="9">
        <v>42339</v>
      </c>
      <c r="C4" s="3" t="s">
        <v>4</v>
      </c>
      <c r="D4" s="3" t="s">
        <v>11</v>
      </c>
      <c r="E4" s="3" t="s">
        <v>15</v>
      </c>
      <c r="F4" s="5" t="s">
        <v>13</v>
      </c>
      <c r="G4" s="4">
        <v>207</v>
      </c>
      <c r="H4" s="3">
        <f t="shared" ref="H4:H35" si="0">IF(E4=$H$3,1,0)</f>
        <v>0</v>
      </c>
      <c r="I4" s="3">
        <f t="shared" ref="I4:I35" si="1">IF(E4=$I$3,1,0)</f>
        <v>0</v>
      </c>
      <c r="J4" s="3">
        <f t="shared" ref="J4:J35" si="2">IF(D4=J$3,1,0)</f>
        <v>1</v>
      </c>
      <c r="K4" s="35">
        <f t="shared" ref="K4:K35" si="3">IF(F4="Yes",1,0)</f>
        <v>0</v>
      </c>
      <c r="L4" s="3">
        <v>1</v>
      </c>
      <c r="M4" s="35">
        <f>$R$19+$R$20*H4+$R$21*I4+$R$22*J4+$R$23*K4+$R$24*L4</f>
        <v>164.64851744318696</v>
      </c>
      <c r="N4" s="35">
        <f>G4/M4</f>
        <v>1.2572235888575596</v>
      </c>
      <c r="O4" s="48">
        <f>VLOOKUP(C4,$Q$30:$R$36,2,FALSE)*M4</f>
        <v>208.88948757794907</v>
      </c>
    </row>
    <row r="5" spans="2:22" x14ac:dyDescent="0.3">
      <c r="B5" s="9">
        <v>42340</v>
      </c>
      <c r="C5" s="3" t="s">
        <v>5</v>
      </c>
      <c r="D5" s="3" t="s">
        <v>11</v>
      </c>
      <c r="E5" s="3" t="s">
        <v>29</v>
      </c>
      <c r="F5" s="5" t="s">
        <v>13</v>
      </c>
      <c r="G5" s="4">
        <v>311</v>
      </c>
      <c r="H5" s="3">
        <f t="shared" si="0"/>
        <v>1</v>
      </c>
      <c r="I5" s="3">
        <f t="shared" si="1"/>
        <v>0</v>
      </c>
      <c r="J5" s="3">
        <f t="shared" si="2"/>
        <v>1</v>
      </c>
      <c r="K5" s="35">
        <f t="shared" si="3"/>
        <v>0</v>
      </c>
      <c r="L5" s="3">
        <v>2</v>
      </c>
      <c r="M5" s="35">
        <f t="shared" ref="M5:M68" si="4">$R$19+$R$20*H5+$R$21*I5+$R$22*J5+$R$23*K5+$R$24*L5</f>
        <v>279.77657095256103</v>
      </c>
      <c r="N5" s="35">
        <f t="shared" ref="N5:N68" si="5">G5/M5</f>
        <v>1.1116013000700236</v>
      </c>
      <c r="O5" s="48">
        <f t="shared" ref="O5:O68" si="6">VLOOKUP(C5,$Q$30:$R$36,2,FALSE)*M5</f>
        <v>318.04133842865718</v>
      </c>
      <c r="Q5" s="32" t="s">
        <v>36</v>
      </c>
      <c r="R5" s="32"/>
    </row>
    <row r="6" spans="2:22" x14ac:dyDescent="0.3">
      <c r="B6" s="9">
        <v>42341</v>
      </c>
      <c r="C6" s="3" t="s">
        <v>6</v>
      </c>
      <c r="D6" s="3" t="s">
        <v>14</v>
      </c>
      <c r="E6" s="3" t="s">
        <v>15</v>
      </c>
      <c r="F6" s="5" t="s">
        <v>13</v>
      </c>
      <c r="G6" s="4">
        <v>171</v>
      </c>
      <c r="H6" s="3">
        <f t="shared" si="0"/>
        <v>0</v>
      </c>
      <c r="I6" s="3">
        <f t="shared" si="1"/>
        <v>0</v>
      </c>
      <c r="J6" s="3">
        <f t="shared" si="2"/>
        <v>0</v>
      </c>
      <c r="K6" s="35">
        <f t="shared" si="3"/>
        <v>0</v>
      </c>
      <c r="L6" s="3">
        <v>3</v>
      </c>
      <c r="M6" s="35">
        <f t="shared" si="4"/>
        <v>139.30163458115038</v>
      </c>
      <c r="N6" s="35">
        <f t="shared" si="5"/>
        <v>1.2275519990426507</v>
      </c>
      <c r="O6" s="48">
        <f t="shared" si="6"/>
        <v>157.57181040441444</v>
      </c>
      <c r="Q6" s="29" t="s">
        <v>37</v>
      </c>
      <c r="R6" s="29">
        <v>0.65240058748606777</v>
      </c>
    </row>
    <row r="7" spans="2:22" x14ac:dyDescent="0.3">
      <c r="B7" s="9">
        <v>42342</v>
      </c>
      <c r="C7" s="3" t="s">
        <v>7</v>
      </c>
      <c r="D7" s="3" t="s">
        <v>11</v>
      </c>
      <c r="E7" s="3" t="s">
        <v>15</v>
      </c>
      <c r="F7" s="5" t="s">
        <v>13</v>
      </c>
      <c r="G7" s="4">
        <v>170</v>
      </c>
      <c r="H7" s="3">
        <f t="shared" si="0"/>
        <v>0</v>
      </c>
      <c r="I7" s="3">
        <f t="shared" si="1"/>
        <v>0</v>
      </c>
      <c r="J7" s="3">
        <f t="shared" si="2"/>
        <v>1</v>
      </c>
      <c r="K7" s="35">
        <f t="shared" si="3"/>
        <v>0</v>
      </c>
      <c r="L7" s="3">
        <v>4</v>
      </c>
      <c r="M7" s="35">
        <f t="shared" si="4"/>
        <v>165.54942463824696</v>
      </c>
      <c r="N7" s="35">
        <f t="shared" si="5"/>
        <v>1.0268836655366111</v>
      </c>
      <c r="O7" s="48">
        <f t="shared" si="6"/>
        <v>171.79792462951943</v>
      </c>
      <c r="Q7" s="29" t="s">
        <v>38</v>
      </c>
      <c r="R7" s="29">
        <v>0.42562652655216637</v>
      </c>
    </row>
    <row r="8" spans="2:22" x14ac:dyDescent="0.3">
      <c r="B8" s="9">
        <v>42343</v>
      </c>
      <c r="C8" s="3" t="s">
        <v>8</v>
      </c>
      <c r="D8" s="3" t="s">
        <v>11</v>
      </c>
      <c r="E8" s="3" t="s">
        <v>15</v>
      </c>
      <c r="F8" s="5" t="s">
        <v>13</v>
      </c>
      <c r="G8" s="4">
        <v>147</v>
      </c>
      <c r="H8" s="3">
        <f t="shared" si="0"/>
        <v>0</v>
      </c>
      <c r="I8" s="3">
        <f t="shared" si="1"/>
        <v>0</v>
      </c>
      <c r="J8" s="3">
        <f t="shared" si="2"/>
        <v>1</v>
      </c>
      <c r="K8" s="35">
        <f t="shared" si="3"/>
        <v>0</v>
      </c>
      <c r="L8" s="3">
        <v>5</v>
      </c>
      <c r="M8" s="35">
        <f t="shared" si="4"/>
        <v>165.84972703660029</v>
      </c>
      <c r="N8" s="35">
        <f t="shared" si="5"/>
        <v>0.88634453988314099</v>
      </c>
      <c r="O8" s="48">
        <f t="shared" si="6"/>
        <v>144.18198289411265</v>
      </c>
      <c r="Q8" s="29" t="s">
        <v>39</v>
      </c>
      <c r="R8" s="29">
        <v>0.40149318733166917</v>
      </c>
    </row>
    <row r="9" spans="2:22" x14ac:dyDescent="0.3">
      <c r="B9" s="9">
        <v>42344</v>
      </c>
      <c r="C9" s="3" t="s">
        <v>9</v>
      </c>
      <c r="D9" s="3" t="s">
        <v>14</v>
      </c>
      <c r="E9" s="3" t="s">
        <v>16</v>
      </c>
      <c r="F9" s="5" t="s">
        <v>13</v>
      </c>
      <c r="G9" s="4">
        <v>87</v>
      </c>
      <c r="H9" s="3">
        <f t="shared" si="0"/>
        <v>0</v>
      </c>
      <c r="I9" s="3">
        <f t="shared" si="1"/>
        <v>1</v>
      </c>
      <c r="J9" s="3">
        <f t="shared" si="2"/>
        <v>0</v>
      </c>
      <c r="K9" s="35">
        <f t="shared" si="3"/>
        <v>0</v>
      </c>
      <c r="L9" s="3">
        <v>6</v>
      </c>
      <c r="M9" s="35">
        <f t="shared" si="4"/>
        <v>214.1656153463739</v>
      </c>
      <c r="N9" s="35">
        <f t="shared" si="5"/>
        <v>0.40622767506022539</v>
      </c>
      <c r="O9" s="48">
        <f t="shared" si="6"/>
        <v>107.81950634347238</v>
      </c>
      <c r="Q9" s="29" t="s">
        <v>40</v>
      </c>
      <c r="R9" s="29">
        <v>53.791538432887911</v>
      </c>
    </row>
    <row r="10" spans="2:22" ht="15" thickBot="1" x14ac:dyDescent="0.35">
      <c r="B10" s="9">
        <v>42345</v>
      </c>
      <c r="C10" s="3" t="s">
        <v>10</v>
      </c>
      <c r="D10" s="3" t="s">
        <v>11</v>
      </c>
      <c r="E10" s="3" t="s">
        <v>29</v>
      </c>
      <c r="F10" s="5" t="s">
        <v>13</v>
      </c>
      <c r="G10" s="4">
        <v>274</v>
      </c>
      <c r="H10" s="3">
        <f t="shared" si="0"/>
        <v>1</v>
      </c>
      <c r="I10" s="3">
        <f t="shared" si="1"/>
        <v>0</v>
      </c>
      <c r="J10" s="3">
        <f t="shared" si="2"/>
        <v>1</v>
      </c>
      <c r="K10" s="35">
        <f t="shared" si="3"/>
        <v>0</v>
      </c>
      <c r="L10" s="3">
        <v>7</v>
      </c>
      <c r="M10" s="35">
        <f t="shared" si="4"/>
        <v>281.27808294432765</v>
      </c>
      <c r="N10" s="35">
        <f t="shared" si="5"/>
        <v>0.97412495538883426</v>
      </c>
      <c r="O10" s="48">
        <f t="shared" si="6"/>
        <v>302.10999712500785</v>
      </c>
      <c r="Q10" s="30" t="s">
        <v>41</v>
      </c>
      <c r="R10" s="30">
        <v>125</v>
      </c>
    </row>
    <row r="11" spans="2:22" x14ac:dyDescent="0.3">
      <c r="B11" s="9">
        <v>42346</v>
      </c>
      <c r="C11" s="3" t="s">
        <v>4</v>
      </c>
      <c r="D11" s="3" t="s">
        <v>11</v>
      </c>
      <c r="E11" s="3" t="s">
        <v>15</v>
      </c>
      <c r="F11" s="5" t="s">
        <v>13</v>
      </c>
      <c r="G11" s="4">
        <v>206</v>
      </c>
      <c r="H11" s="3">
        <f t="shared" si="0"/>
        <v>0</v>
      </c>
      <c r="I11" s="3">
        <f t="shared" si="1"/>
        <v>0</v>
      </c>
      <c r="J11" s="3">
        <f t="shared" si="2"/>
        <v>1</v>
      </c>
      <c r="K11" s="35">
        <f t="shared" si="3"/>
        <v>0</v>
      </c>
      <c r="L11" s="3">
        <v>8</v>
      </c>
      <c r="M11" s="35">
        <f t="shared" si="4"/>
        <v>166.75063423166026</v>
      </c>
      <c r="N11" s="35">
        <f t="shared" si="5"/>
        <v>1.2353776101013931</v>
      </c>
      <c r="O11" s="48">
        <f t="shared" si="6"/>
        <v>211.55644204308544</v>
      </c>
    </row>
    <row r="12" spans="2:22" ht="15" thickBot="1" x14ac:dyDescent="0.35">
      <c r="B12" s="9">
        <v>42347</v>
      </c>
      <c r="C12" s="3" t="s">
        <v>5</v>
      </c>
      <c r="D12" s="3" t="s">
        <v>11</v>
      </c>
      <c r="E12" s="3" t="s">
        <v>16</v>
      </c>
      <c r="F12" s="5" t="s">
        <v>13</v>
      </c>
      <c r="G12" s="4">
        <v>279</v>
      </c>
      <c r="H12" s="3">
        <f t="shared" si="0"/>
        <v>0</v>
      </c>
      <c r="I12" s="3">
        <f t="shared" si="1"/>
        <v>1</v>
      </c>
      <c r="J12" s="3">
        <f t="shared" si="2"/>
        <v>1</v>
      </c>
      <c r="K12" s="35">
        <f t="shared" si="3"/>
        <v>0</v>
      </c>
      <c r="L12" s="3">
        <v>9</v>
      </c>
      <c r="M12" s="35">
        <f t="shared" si="4"/>
        <v>241.0140102001771</v>
      </c>
      <c r="N12" s="35">
        <f t="shared" si="5"/>
        <v>1.1576090525537215</v>
      </c>
      <c r="O12" s="48">
        <f t="shared" si="6"/>
        <v>273.9772602228353</v>
      </c>
      <c r="Q12" t="s">
        <v>42</v>
      </c>
    </row>
    <row r="13" spans="2:22" x14ac:dyDescent="0.3">
      <c r="B13" s="9">
        <v>42348</v>
      </c>
      <c r="C13" s="3" t="s">
        <v>6</v>
      </c>
      <c r="D13" s="3" t="s">
        <v>26</v>
      </c>
      <c r="E13" s="3" t="s">
        <v>16</v>
      </c>
      <c r="F13" s="5" t="s">
        <v>13</v>
      </c>
      <c r="G13" s="4">
        <v>238</v>
      </c>
      <c r="H13" s="3">
        <f t="shared" si="0"/>
        <v>0</v>
      </c>
      <c r="I13" s="3">
        <f t="shared" si="1"/>
        <v>1</v>
      </c>
      <c r="J13" s="3">
        <f t="shared" si="2"/>
        <v>0</v>
      </c>
      <c r="K13" s="35">
        <f t="shared" si="3"/>
        <v>0</v>
      </c>
      <c r="L13" s="3">
        <v>10</v>
      </c>
      <c r="M13" s="35">
        <f t="shared" si="4"/>
        <v>215.36682493978719</v>
      </c>
      <c r="N13" s="35">
        <f t="shared" si="5"/>
        <v>1.1050912788751965</v>
      </c>
      <c r="O13" s="48">
        <f t="shared" si="6"/>
        <v>243.6133689949169</v>
      </c>
      <c r="Q13" s="31"/>
      <c r="R13" s="31" t="s">
        <v>47</v>
      </c>
      <c r="S13" s="31" t="s">
        <v>48</v>
      </c>
      <c r="T13" s="31" t="s">
        <v>49</v>
      </c>
      <c r="U13" s="31" t="s">
        <v>50</v>
      </c>
      <c r="V13" s="31" t="s">
        <v>51</v>
      </c>
    </row>
    <row r="14" spans="2:22" x14ac:dyDescent="0.3">
      <c r="B14" s="9">
        <v>42349</v>
      </c>
      <c r="C14" s="3" t="s">
        <v>7</v>
      </c>
      <c r="D14" s="3" t="s">
        <v>14</v>
      </c>
      <c r="E14" s="3" t="s">
        <v>16</v>
      </c>
      <c r="F14" s="5" t="s">
        <v>13</v>
      </c>
      <c r="G14" s="4">
        <v>223</v>
      </c>
      <c r="H14" s="3">
        <f t="shared" si="0"/>
        <v>0</v>
      </c>
      <c r="I14" s="3">
        <f t="shared" si="1"/>
        <v>1</v>
      </c>
      <c r="J14" s="3">
        <f t="shared" si="2"/>
        <v>0</v>
      </c>
      <c r="K14" s="35">
        <f t="shared" si="3"/>
        <v>0</v>
      </c>
      <c r="L14" s="3">
        <v>11</v>
      </c>
      <c r="M14" s="35">
        <f t="shared" si="4"/>
        <v>215.66712733814052</v>
      </c>
      <c r="N14" s="35">
        <f t="shared" si="5"/>
        <v>1.0340008825283902</v>
      </c>
      <c r="O14" s="48">
        <f t="shared" si="6"/>
        <v>223.80727065929582</v>
      </c>
      <c r="Q14" s="29" t="s">
        <v>43</v>
      </c>
      <c r="R14" s="29">
        <v>5</v>
      </c>
      <c r="S14" s="29">
        <v>255158.00876975391</v>
      </c>
      <c r="T14" s="29">
        <v>51031.601753950781</v>
      </c>
      <c r="U14" s="29">
        <v>17.636453980254345</v>
      </c>
      <c r="V14" s="29">
        <v>4.8053811829918194E-13</v>
      </c>
    </row>
    <row r="15" spans="2:22" x14ac:dyDescent="0.3">
      <c r="B15" s="9">
        <v>42350</v>
      </c>
      <c r="C15" s="3" t="s">
        <v>8</v>
      </c>
      <c r="D15" s="3" t="s">
        <v>14</v>
      </c>
      <c r="E15" s="3" t="s">
        <v>16</v>
      </c>
      <c r="F15" s="5" t="s">
        <v>13</v>
      </c>
      <c r="G15" s="4">
        <v>183</v>
      </c>
      <c r="H15" s="3">
        <f t="shared" si="0"/>
        <v>0</v>
      </c>
      <c r="I15" s="3">
        <f t="shared" si="1"/>
        <v>1</v>
      </c>
      <c r="J15" s="3">
        <f t="shared" si="2"/>
        <v>0</v>
      </c>
      <c r="K15" s="35">
        <f t="shared" si="3"/>
        <v>0</v>
      </c>
      <c r="L15" s="3">
        <v>12</v>
      </c>
      <c r="M15" s="35">
        <f t="shared" si="4"/>
        <v>215.96742973649387</v>
      </c>
      <c r="N15" s="35">
        <f t="shared" si="5"/>
        <v>0.84734999265065991</v>
      </c>
      <c r="O15" s="48">
        <f t="shared" si="6"/>
        <v>187.75196568807652</v>
      </c>
      <c r="Q15" s="29" t="s">
        <v>44</v>
      </c>
      <c r="R15" s="29">
        <v>119</v>
      </c>
      <c r="S15" s="29">
        <v>344330.02323024598</v>
      </c>
      <c r="T15" s="29">
        <v>2893.5296069768569</v>
      </c>
      <c r="U15" s="29"/>
      <c r="V15" s="29"/>
    </row>
    <row r="16" spans="2:22" ht="15" thickBot="1" x14ac:dyDescent="0.35">
      <c r="B16" s="9">
        <v>42351</v>
      </c>
      <c r="C16" s="3" t="s">
        <v>9</v>
      </c>
      <c r="D16" s="3" t="s">
        <v>26</v>
      </c>
      <c r="E16" s="3" t="s">
        <v>15</v>
      </c>
      <c r="F16" s="5" t="s">
        <v>13</v>
      </c>
      <c r="G16" s="4">
        <v>71</v>
      </c>
      <c r="H16" s="3">
        <f t="shared" si="0"/>
        <v>0</v>
      </c>
      <c r="I16" s="3">
        <f t="shared" si="1"/>
        <v>0</v>
      </c>
      <c r="J16" s="3">
        <f t="shared" si="2"/>
        <v>0</v>
      </c>
      <c r="K16" s="35">
        <f t="shared" si="3"/>
        <v>0</v>
      </c>
      <c r="L16" s="3">
        <v>13</v>
      </c>
      <c r="M16" s="35">
        <f t="shared" si="4"/>
        <v>142.30465856468368</v>
      </c>
      <c r="N16" s="35">
        <f t="shared" si="5"/>
        <v>0.49892955519602616</v>
      </c>
      <c r="O16" s="48">
        <f t="shared" si="6"/>
        <v>71.641836678617722</v>
      </c>
      <c r="Q16" s="30" t="s">
        <v>45</v>
      </c>
      <c r="R16" s="30">
        <v>124</v>
      </c>
      <c r="S16" s="30">
        <v>599488.03199999989</v>
      </c>
      <c r="T16" s="30"/>
      <c r="U16" s="30"/>
      <c r="V16" s="30"/>
    </row>
    <row r="17" spans="2:25" ht="15" thickBot="1" x14ac:dyDescent="0.35">
      <c r="B17" s="9">
        <v>42352</v>
      </c>
      <c r="C17" s="3" t="s">
        <v>10</v>
      </c>
      <c r="D17" s="3" t="s">
        <v>14</v>
      </c>
      <c r="E17" s="3" t="s">
        <v>29</v>
      </c>
      <c r="F17" s="5" t="s">
        <v>13</v>
      </c>
      <c r="G17" s="4">
        <v>242</v>
      </c>
      <c r="H17" s="3">
        <f t="shared" si="0"/>
        <v>1</v>
      </c>
      <c r="I17" s="3">
        <f t="shared" si="1"/>
        <v>0</v>
      </c>
      <c r="J17" s="3">
        <f t="shared" si="2"/>
        <v>0</v>
      </c>
      <c r="K17" s="35">
        <f t="shared" si="3"/>
        <v>0</v>
      </c>
      <c r="L17" s="3">
        <v>14</v>
      </c>
      <c r="M17" s="35">
        <f t="shared" si="4"/>
        <v>257.43271207405769</v>
      </c>
      <c r="N17" s="35">
        <f t="shared" si="5"/>
        <v>0.94005147228679298</v>
      </c>
      <c r="O17" s="48">
        <f t="shared" si="6"/>
        <v>276.49859914599131</v>
      </c>
    </row>
    <row r="18" spans="2:25" x14ac:dyDescent="0.3">
      <c r="B18" s="9">
        <v>42353</v>
      </c>
      <c r="C18" s="3" t="s">
        <v>4</v>
      </c>
      <c r="D18" s="3" t="s">
        <v>26</v>
      </c>
      <c r="E18" s="3" t="s">
        <v>15</v>
      </c>
      <c r="F18" s="5" t="s">
        <v>13</v>
      </c>
      <c r="G18" s="4">
        <v>169</v>
      </c>
      <c r="H18" s="3">
        <f t="shared" si="0"/>
        <v>0</v>
      </c>
      <c r="I18" s="3">
        <f t="shared" si="1"/>
        <v>0</v>
      </c>
      <c r="J18" s="3">
        <f t="shared" si="2"/>
        <v>0</v>
      </c>
      <c r="K18" s="35">
        <f t="shared" si="3"/>
        <v>0</v>
      </c>
      <c r="L18" s="3">
        <v>15</v>
      </c>
      <c r="M18" s="35">
        <f t="shared" si="4"/>
        <v>142.90526336139033</v>
      </c>
      <c r="N18" s="35">
        <f t="shared" si="5"/>
        <v>1.182601648286524</v>
      </c>
      <c r="O18" s="48">
        <f t="shared" si="6"/>
        <v>181.30383254773676</v>
      </c>
      <c r="Q18" s="31"/>
      <c r="R18" s="31" t="s">
        <v>52</v>
      </c>
      <c r="S18" s="31" t="s">
        <v>40</v>
      </c>
      <c r="T18" s="31" t="s">
        <v>53</v>
      </c>
      <c r="U18" s="31" t="s">
        <v>54</v>
      </c>
      <c r="V18" s="31" t="s">
        <v>55</v>
      </c>
      <c r="W18" s="31" t="s">
        <v>56</v>
      </c>
      <c r="X18" s="31" t="s">
        <v>86</v>
      </c>
      <c r="Y18" s="31" t="s">
        <v>87</v>
      </c>
    </row>
    <row r="19" spans="2:25" x14ac:dyDescent="0.3">
      <c r="B19" s="9">
        <v>42354</v>
      </c>
      <c r="C19" s="3" t="s">
        <v>5</v>
      </c>
      <c r="D19" s="3" t="s">
        <v>11</v>
      </c>
      <c r="E19" s="3" t="s">
        <v>15</v>
      </c>
      <c r="F19" s="5" t="s">
        <v>13</v>
      </c>
      <c r="G19" s="4">
        <v>194</v>
      </c>
      <c r="H19" s="3">
        <f t="shared" si="0"/>
        <v>0</v>
      </c>
      <c r="I19" s="3">
        <f t="shared" si="1"/>
        <v>0</v>
      </c>
      <c r="J19" s="3">
        <f t="shared" si="2"/>
        <v>1</v>
      </c>
      <c r="K19" s="35">
        <f t="shared" si="3"/>
        <v>0</v>
      </c>
      <c r="L19" s="3">
        <v>16</v>
      </c>
      <c r="M19" s="35">
        <f t="shared" si="4"/>
        <v>169.15305341848688</v>
      </c>
      <c r="N19" s="35">
        <f t="shared" si="5"/>
        <v>1.1468903225769236</v>
      </c>
      <c r="O19" s="48">
        <f t="shared" si="6"/>
        <v>192.28795079353392</v>
      </c>
      <c r="Q19" s="29" t="s">
        <v>46</v>
      </c>
      <c r="R19" s="29">
        <v>138.40072738609041</v>
      </c>
      <c r="S19" s="29">
        <v>13.086030024691375</v>
      </c>
      <c r="T19" s="29">
        <v>10.576219611673594</v>
      </c>
      <c r="U19" s="29">
        <v>7.8172316663612348E-19</v>
      </c>
      <c r="V19" s="29">
        <v>112.48908095088717</v>
      </c>
      <c r="W19" s="29">
        <v>164.31237382129365</v>
      </c>
      <c r="X19" s="29">
        <v>112.48908095088717</v>
      </c>
      <c r="Y19" s="29">
        <v>164.31237382129365</v>
      </c>
    </row>
    <row r="20" spans="2:25" x14ac:dyDescent="0.3">
      <c r="B20" s="9">
        <v>42355</v>
      </c>
      <c r="C20" s="3" t="s">
        <v>6</v>
      </c>
      <c r="D20" s="3" t="s">
        <v>14</v>
      </c>
      <c r="E20" s="3" t="s">
        <v>29</v>
      </c>
      <c r="F20" s="5" t="s">
        <v>13</v>
      </c>
      <c r="G20" s="4">
        <v>294</v>
      </c>
      <c r="H20" s="3">
        <f t="shared" si="0"/>
        <v>1</v>
      </c>
      <c r="I20" s="3">
        <f t="shared" si="1"/>
        <v>0</v>
      </c>
      <c r="J20" s="3">
        <f t="shared" si="2"/>
        <v>0</v>
      </c>
      <c r="K20" s="35">
        <f t="shared" si="3"/>
        <v>0</v>
      </c>
      <c r="L20" s="3">
        <v>17</v>
      </c>
      <c r="M20" s="35">
        <f t="shared" si="4"/>
        <v>258.33361926911772</v>
      </c>
      <c r="N20" s="35">
        <f t="shared" si="5"/>
        <v>1.138063256465768</v>
      </c>
      <c r="O20" s="48">
        <f t="shared" si="6"/>
        <v>292.21549480703476</v>
      </c>
      <c r="Q20" s="29" t="s">
        <v>32</v>
      </c>
      <c r="R20" s="29">
        <v>114.82775111102072</v>
      </c>
      <c r="S20" s="29">
        <v>16.424696198680994</v>
      </c>
      <c r="T20" s="29">
        <v>6.9911643857523584</v>
      </c>
      <c r="U20" s="29">
        <v>1.7022317909204658E-10</v>
      </c>
      <c r="V20" s="29">
        <v>82.305212197169666</v>
      </c>
      <c r="W20" s="29">
        <v>147.35029002487175</v>
      </c>
      <c r="X20" s="29">
        <v>82.305212197169666</v>
      </c>
      <c r="Y20" s="29">
        <v>147.35029002487175</v>
      </c>
    </row>
    <row r="21" spans="2:25" x14ac:dyDescent="0.3">
      <c r="B21" s="9">
        <v>42356</v>
      </c>
      <c r="C21" s="3" t="s">
        <v>7</v>
      </c>
      <c r="D21" s="3" t="s">
        <v>11</v>
      </c>
      <c r="E21" s="3" t="s">
        <v>15</v>
      </c>
      <c r="F21" s="5" t="s">
        <v>13</v>
      </c>
      <c r="G21" s="4">
        <v>181</v>
      </c>
      <c r="H21" s="3">
        <f t="shared" si="0"/>
        <v>0</v>
      </c>
      <c r="I21" s="3">
        <f t="shared" si="1"/>
        <v>0</v>
      </c>
      <c r="J21" s="3">
        <f t="shared" si="2"/>
        <v>1</v>
      </c>
      <c r="K21" s="35">
        <f t="shared" si="3"/>
        <v>0</v>
      </c>
      <c r="L21" s="3">
        <v>18</v>
      </c>
      <c r="M21" s="35">
        <f t="shared" si="4"/>
        <v>169.75365821519352</v>
      </c>
      <c r="N21" s="35">
        <f t="shared" si="5"/>
        <v>1.0662509539002081</v>
      </c>
      <c r="O21" s="48">
        <f t="shared" si="6"/>
        <v>176.16084286227957</v>
      </c>
      <c r="Q21" s="29" t="s">
        <v>16</v>
      </c>
      <c r="R21" s="29">
        <v>73.963073570163516</v>
      </c>
      <c r="S21" s="29">
        <v>13.273374880308452</v>
      </c>
      <c r="T21" s="29">
        <v>5.5722884524184195</v>
      </c>
      <c r="U21" s="29">
        <v>1.590199524639589E-7</v>
      </c>
      <c r="V21" s="29">
        <v>47.680465609498064</v>
      </c>
      <c r="W21" s="29">
        <v>100.24568153082896</v>
      </c>
      <c r="X21" s="29">
        <v>47.680465609498064</v>
      </c>
      <c r="Y21" s="29">
        <v>100.24568153082896</v>
      </c>
    </row>
    <row r="22" spans="2:25" x14ac:dyDescent="0.3">
      <c r="B22" s="9">
        <v>42357</v>
      </c>
      <c r="C22" s="3" t="s">
        <v>8</v>
      </c>
      <c r="D22" s="3" t="s">
        <v>11</v>
      </c>
      <c r="E22" s="3" t="s">
        <v>12</v>
      </c>
      <c r="F22" s="5" t="s">
        <v>13</v>
      </c>
      <c r="G22" s="4">
        <v>131</v>
      </c>
      <c r="H22" s="3">
        <f t="shared" si="0"/>
        <v>0</v>
      </c>
      <c r="I22" s="3">
        <f t="shared" si="1"/>
        <v>0</v>
      </c>
      <c r="J22" s="3">
        <f t="shared" si="2"/>
        <v>1</v>
      </c>
      <c r="K22" s="35">
        <f t="shared" si="3"/>
        <v>0</v>
      </c>
      <c r="L22" s="3">
        <v>19</v>
      </c>
      <c r="M22" s="35">
        <f t="shared" si="4"/>
        <v>170.05396061354685</v>
      </c>
      <c r="N22" s="35">
        <f t="shared" si="5"/>
        <v>0.77034371635543231</v>
      </c>
      <c r="O22" s="48">
        <f t="shared" si="6"/>
        <v>147.83694660436581</v>
      </c>
      <c r="Q22" s="29" t="s">
        <v>11</v>
      </c>
      <c r="R22" s="29">
        <v>25.947487658743238</v>
      </c>
      <c r="S22" s="29">
        <v>10.207172367582722</v>
      </c>
      <c r="T22" s="29">
        <v>2.5420838136476149</v>
      </c>
      <c r="U22" s="29">
        <v>1.2303748394541377E-2</v>
      </c>
      <c r="V22" s="29">
        <v>5.736266914717973</v>
      </c>
      <c r="W22" s="29">
        <v>46.158708402768504</v>
      </c>
      <c r="X22" s="29">
        <v>5.736266914717973</v>
      </c>
      <c r="Y22" s="29">
        <v>46.158708402768504</v>
      </c>
    </row>
    <row r="23" spans="2:25" x14ac:dyDescent="0.3">
      <c r="B23" s="9">
        <v>42358</v>
      </c>
      <c r="C23" s="3" t="s">
        <v>9</v>
      </c>
      <c r="D23" s="3" t="s">
        <v>11</v>
      </c>
      <c r="E23" s="3" t="s">
        <v>12</v>
      </c>
      <c r="F23" s="5" t="s">
        <v>13</v>
      </c>
      <c r="G23" s="4">
        <v>75</v>
      </c>
      <c r="H23" s="3">
        <f t="shared" si="0"/>
        <v>0</v>
      </c>
      <c r="I23" s="3">
        <f t="shared" si="1"/>
        <v>0</v>
      </c>
      <c r="J23" s="3">
        <f t="shared" si="2"/>
        <v>1</v>
      </c>
      <c r="K23" s="35">
        <f t="shared" si="3"/>
        <v>0</v>
      </c>
      <c r="L23" s="3">
        <v>20</v>
      </c>
      <c r="M23" s="35">
        <f t="shared" si="4"/>
        <v>170.3542630119002</v>
      </c>
      <c r="N23" s="35">
        <f t="shared" si="5"/>
        <v>0.44025901479648227</v>
      </c>
      <c r="O23" s="48">
        <f t="shared" si="6"/>
        <v>85.763125475315121</v>
      </c>
      <c r="Q23" s="29" t="s">
        <v>33</v>
      </c>
      <c r="R23" s="29">
        <v>-99.53765176669917</v>
      </c>
      <c r="S23" s="29">
        <v>17.411582239454294</v>
      </c>
      <c r="T23" s="29">
        <v>-5.7167493681963526</v>
      </c>
      <c r="U23" s="29">
        <v>8.2025922788858252E-8</v>
      </c>
      <c r="V23" s="29">
        <v>-134.01432360796252</v>
      </c>
      <c r="W23" s="29">
        <v>-65.060979925435817</v>
      </c>
      <c r="X23" s="29">
        <v>-134.01432360796252</v>
      </c>
      <c r="Y23" s="29">
        <v>-65.060979925435817</v>
      </c>
    </row>
    <row r="24" spans="2:25" ht="15" thickBot="1" x14ac:dyDescent="0.35">
      <c r="B24" s="9">
        <v>42359</v>
      </c>
      <c r="C24" s="3" t="s">
        <v>10</v>
      </c>
      <c r="D24" s="3" t="s">
        <v>14</v>
      </c>
      <c r="E24" s="3" t="s">
        <v>15</v>
      </c>
      <c r="F24" s="5" t="s">
        <v>13</v>
      </c>
      <c r="G24" s="4">
        <v>153</v>
      </c>
      <c r="H24" s="3">
        <f t="shared" si="0"/>
        <v>0</v>
      </c>
      <c r="I24" s="3">
        <f t="shared" si="1"/>
        <v>0</v>
      </c>
      <c r="J24" s="3">
        <f t="shared" si="2"/>
        <v>0</v>
      </c>
      <c r="K24" s="35">
        <f t="shared" si="3"/>
        <v>0</v>
      </c>
      <c r="L24" s="3">
        <v>21</v>
      </c>
      <c r="M24" s="35">
        <f t="shared" si="4"/>
        <v>144.7070777515103</v>
      </c>
      <c r="N24" s="35">
        <f t="shared" si="5"/>
        <v>1.0573083388687472</v>
      </c>
      <c r="O24" s="48">
        <f t="shared" si="6"/>
        <v>155.42432025224625</v>
      </c>
      <c r="Q24" s="30" t="s">
        <v>34</v>
      </c>
      <c r="R24" s="30">
        <v>0.30030239835332767</v>
      </c>
      <c r="S24" s="30">
        <v>0.13727058898829905</v>
      </c>
      <c r="T24" s="30">
        <v>2.187667442578872</v>
      </c>
      <c r="U24" s="30">
        <v>3.0648446071478402E-2</v>
      </c>
      <c r="V24" s="30">
        <v>2.8492922056424952E-2</v>
      </c>
      <c r="W24" s="30">
        <v>0.57211187465023039</v>
      </c>
      <c r="X24" s="30">
        <v>2.8492922056424952E-2</v>
      </c>
      <c r="Y24" s="30">
        <v>0.57211187465023039</v>
      </c>
    </row>
    <row r="25" spans="2:25" x14ac:dyDescent="0.3">
      <c r="B25" s="9">
        <v>42360</v>
      </c>
      <c r="C25" s="3" t="s">
        <v>4</v>
      </c>
      <c r="D25" s="3" t="s">
        <v>14</v>
      </c>
      <c r="E25" s="3" t="s">
        <v>16</v>
      </c>
      <c r="F25" s="5" t="s">
        <v>13</v>
      </c>
      <c r="G25" s="4">
        <v>272</v>
      </c>
      <c r="H25" s="3">
        <f t="shared" si="0"/>
        <v>0</v>
      </c>
      <c r="I25" s="3">
        <f t="shared" si="1"/>
        <v>1</v>
      </c>
      <c r="J25" s="3">
        <f t="shared" si="2"/>
        <v>0</v>
      </c>
      <c r="K25" s="35">
        <f t="shared" si="3"/>
        <v>0</v>
      </c>
      <c r="L25" s="3">
        <v>22</v>
      </c>
      <c r="M25" s="35">
        <f t="shared" si="4"/>
        <v>218.97045372002714</v>
      </c>
      <c r="N25" s="35">
        <f t="shared" si="5"/>
        <v>1.242176720096565</v>
      </c>
      <c r="O25" s="48">
        <f t="shared" si="6"/>
        <v>277.80769959298647</v>
      </c>
    </row>
    <row r="26" spans="2:25" x14ac:dyDescent="0.3">
      <c r="B26" s="9">
        <v>42361</v>
      </c>
      <c r="C26" s="3" t="s">
        <v>5</v>
      </c>
      <c r="D26" s="3" t="s">
        <v>14</v>
      </c>
      <c r="E26" s="3" t="s">
        <v>29</v>
      </c>
      <c r="F26" s="5" t="s">
        <v>13</v>
      </c>
      <c r="G26" s="4">
        <v>280</v>
      </c>
      <c r="H26" s="3">
        <f t="shared" si="0"/>
        <v>1</v>
      </c>
      <c r="I26" s="3">
        <f t="shared" si="1"/>
        <v>0</v>
      </c>
      <c r="J26" s="3">
        <f t="shared" si="2"/>
        <v>0</v>
      </c>
      <c r="K26" s="35">
        <f t="shared" si="3"/>
        <v>0</v>
      </c>
      <c r="L26" s="3">
        <v>23</v>
      </c>
      <c r="M26" s="35">
        <f t="shared" si="4"/>
        <v>260.13543365923766</v>
      </c>
      <c r="N26" s="35">
        <f t="shared" si="5"/>
        <v>1.07636240115902</v>
      </c>
      <c r="O26" s="48">
        <f t="shared" si="6"/>
        <v>295.71390203267401</v>
      </c>
    </row>
    <row r="27" spans="2:25" x14ac:dyDescent="0.3">
      <c r="B27" s="9">
        <v>42362</v>
      </c>
      <c r="C27" s="3" t="s">
        <v>6</v>
      </c>
      <c r="D27" s="3" t="s">
        <v>26</v>
      </c>
      <c r="E27" s="3" t="s">
        <v>29</v>
      </c>
      <c r="F27" s="5" t="s">
        <v>13</v>
      </c>
      <c r="G27" s="4">
        <v>269</v>
      </c>
      <c r="H27" s="3">
        <f t="shared" si="0"/>
        <v>1</v>
      </c>
      <c r="I27" s="3">
        <f t="shared" si="1"/>
        <v>0</v>
      </c>
      <c r="J27" s="3">
        <f t="shared" si="2"/>
        <v>0</v>
      </c>
      <c r="K27" s="35">
        <f t="shared" si="3"/>
        <v>0</v>
      </c>
      <c r="L27" s="3">
        <v>24</v>
      </c>
      <c r="M27" s="35">
        <f t="shared" si="4"/>
        <v>260.43573605759099</v>
      </c>
      <c r="N27" s="35">
        <f t="shared" si="5"/>
        <v>1.0328843655331355</v>
      </c>
      <c r="O27" s="48">
        <f t="shared" si="6"/>
        <v>294.59331577831909</v>
      </c>
    </row>
    <row r="28" spans="2:25" ht="15" thickBot="1" x14ac:dyDescent="0.35">
      <c r="B28" s="9">
        <v>42363</v>
      </c>
      <c r="C28" s="3" t="s">
        <v>7</v>
      </c>
      <c r="D28" s="3" t="s">
        <v>26</v>
      </c>
      <c r="E28" s="3" t="s">
        <v>16</v>
      </c>
      <c r="F28" s="5" t="s">
        <v>30</v>
      </c>
      <c r="G28" s="4">
        <v>119</v>
      </c>
      <c r="H28" s="3">
        <f t="shared" si="0"/>
        <v>0</v>
      </c>
      <c r="I28" s="3">
        <f t="shared" si="1"/>
        <v>1</v>
      </c>
      <c r="J28" s="3">
        <f t="shared" si="2"/>
        <v>0</v>
      </c>
      <c r="K28" s="35">
        <f t="shared" si="3"/>
        <v>1</v>
      </c>
      <c r="L28" s="3">
        <v>25</v>
      </c>
      <c r="M28" s="35">
        <f t="shared" si="4"/>
        <v>120.33370914838795</v>
      </c>
      <c r="N28" s="35">
        <f t="shared" si="5"/>
        <v>0.98891657908804831</v>
      </c>
      <c r="O28" s="48">
        <f t="shared" si="6"/>
        <v>124.87558648928794</v>
      </c>
      <c r="Q28" s="33"/>
    </row>
    <row r="29" spans="2:25" ht="15" thickBot="1" x14ac:dyDescent="0.35">
      <c r="B29" s="9">
        <v>42364</v>
      </c>
      <c r="C29" s="3" t="s">
        <v>8</v>
      </c>
      <c r="D29" s="3" t="s">
        <v>14</v>
      </c>
      <c r="E29" s="3" t="s">
        <v>15</v>
      </c>
      <c r="F29" s="5" t="s">
        <v>13</v>
      </c>
      <c r="G29" s="4">
        <v>134</v>
      </c>
      <c r="H29" s="3">
        <f t="shared" si="0"/>
        <v>0</v>
      </c>
      <c r="I29" s="3">
        <f t="shared" si="1"/>
        <v>0</v>
      </c>
      <c r="J29" s="3">
        <f t="shared" si="2"/>
        <v>0</v>
      </c>
      <c r="K29" s="35">
        <f t="shared" si="3"/>
        <v>0</v>
      </c>
      <c r="L29" s="3">
        <v>26</v>
      </c>
      <c r="M29" s="35">
        <f t="shared" si="4"/>
        <v>146.20858974327692</v>
      </c>
      <c r="N29" s="35">
        <f t="shared" si="5"/>
        <v>0.91649882018071849</v>
      </c>
      <c r="O29" s="48">
        <f t="shared" si="6"/>
        <v>127.10689828681683</v>
      </c>
      <c r="Q29" s="51" t="s">
        <v>65</v>
      </c>
      <c r="R29" s="52" t="s">
        <v>64</v>
      </c>
      <c r="T29" s="39" t="s">
        <v>71</v>
      </c>
      <c r="U29" s="39" t="s">
        <v>72</v>
      </c>
    </row>
    <row r="30" spans="2:25" x14ac:dyDescent="0.3">
      <c r="B30" s="9">
        <v>42365</v>
      </c>
      <c r="C30" s="3" t="s">
        <v>9</v>
      </c>
      <c r="D30" s="3" t="s">
        <v>14</v>
      </c>
      <c r="E30" s="3" t="s">
        <v>29</v>
      </c>
      <c r="F30" s="5" t="s">
        <v>13</v>
      </c>
      <c r="G30" s="4">
        <v>106</v>
      </c>
      <c r="H30" s="3">
        <f t="shared" si="0"/>
        <v>1</v>
      </c>
      <c r="I30" s="3">
        <f t="shared" si="1"/>
        <v>0</v>
      </c>
      <c r="J30" s="3">
        <f t="shared" si="2"/>
        <v>0</v>
      </c>
      <c r="K30" s="35">
        <f t="shared" si="3"/>
        <v>0</v>
      </c>
      <c r="L30" s="3">
        <v>27</v>
      </c>
      <c r="M30" s="35">
        <f t="shared" si="4"/>
        <v>261.33664325265096</v>
      </c>
      <c r="N30" s="35">
        <f t="shared" si="5"/>
        <v>0.40560710767805713</v>
      </c>
      <c r="O30" s="48">
        <f t="shared" si="6"/>
        <v>131.56728179446316</v>
      </c>
      <c r="Q30" s="4" t="s">
        <v>4</v>
      </c>
      <c r="R30" s="48">
        <f>SUMIF($C$4:$C$128,$Q$30,$N$4:$N$128)/COUNTIF($C$4:$C$128,$Q$30)</f>
        <v>1.2686994746249551</v>
      </c>
      <c r="T30" s="40" t="s">
        <v>59</v>
      </c>
      <c r="U30" s="41">
        <f>SUMXMY2($G$4:$G$128,$M$4:$M$128)/COUNT($G$4:$G$128)</f>
        <v>2754.6401858419681</v>
      </c>
    </row>
    <row r="31" spans="2:25" ht="15" thickBot="1" x14ac:dyDescent="0.35">
      <c r="B31" s="9">
        <v>42366</v>
      </c>
      <c r="C31" s="3" t="s">
        <v>10</v>
      </c>
      <c r="D31" s="3" t="s">
        <v>11</v>
      </c>
      <c r="E31" s="3" t="s">
        <v>15</v>
      </c>
      <c r="F31" s="5" t="s">
        <v>13</v>
      </c>
      <c r="G31" s="4">
        <v>177</v>
      </c>
      <c r="H31" s="3">
        <f t="shared" si="0"/>
        <v>0</v>
      </c>
      <c r="I31" s="3">
        <f t="shared" si="1"/>
        <v>0</v>
      </c>
      <c r="J31" s="3">
        <f t="shared" si="2"/>
        <v>1</v>
      </c>
      <c r="K31" s="35">
        <f t="shared" si="3"/>
        <v>0</v>
      </c>
      <c r="L31" s="3">
        <v>28</v>
      </c>
      <c r="M31" s="35">
        <f t="shared" si="4"/>
        <v>172.75668219872682</v>
      </c>
      <c r="N31" s="35">
        <f t="shared" si="5"/>
        <v>1.024562394619225</v>
      </c>
      <c r="O31" s="48">
        <f t="shared" si="6"/>
        <v>185.55132421289053</v>
      </c>
      <c r="Q31" s="4" t="s">
        <v>5</v>
      </c>
      <c r="R31" s="48">
        <f>SUMIF($C$4:$C$128,$Q$31,$N$4:$N$128)/COUNTIF($C$4:$C$128,$Q$31)</f>
        <v>1.1367690201714007</v>
      </c>
      <c r="T31" s="42" t="s">
        <v>67</v>
      </c>
      <c r="U31" s="43">
        <f>SUMXMY2($G$4:$G$128,$O$4:$O$128)/COUNT($G$4:$G$128)</f>
        <v>533.559589881134</v>
      </c>
    </row>
    <row r="32" spans="2:25" x14ac:dyDescent="0.3">
      <c r="B32" s="9">
        <v>42367</v>
      </c>
      <c r="C32" s="3" t="s">
        <v>4</v>
      </c>
      <c r="D32" s="3" t="s">
        <v>11</v>
      </c>
      <c r="E32" s="3" t="s">
        <v>29</v>
      </c>
      <c r="F32" s="5" t="s">
        <v>13</v>
      </c>
      <c r="G32" s="4">
        <v>368</v>
      </c>
      <c r="H32" s="3">
        <f t="shared" si="0"/>
        <v>1</v>
      </c>
      <c r="I32" s="3">
        <f t="shared" si="1"/>
        <v>0</v>
      </c>
      <c r="J32" s="3">
        <f t="shared" si="2"/>
        <v>1</v>
      </c>
      <c r="K32" s="35">
        <f t="shared" si="3"/>
        <v>0</v>
      </c>
      <c r="L32" s="3">
        <v>29</v>
      </c>
      <c r="M32" s="35">
        <f t="shared" si="4"/>
        <v>287.88473570810089</v>
      </c>
      <c r="N32" s="35">
        <f t="shared" si="5"/>
        <v>1.2782893788892356</v>
      </c>
      <c r="O32" s="48">
        <f t="shared" si="6"/>
        <v>365.23921294541168</v>
      </c>
      <c r="Q32" s="4" t="s">
        <v>6</v>
      </c>
      <c r="R32" s="48">
        <f>SUMIF($C$4:$C$128,$Q$32,$N$4:$N$128)/COUNTIF($C$4:$C$128,$Q$32)</f>
        <v>1.1311555020743187</v>
      </c>
    </row>
    <row r="33" spans="2:20" x14ac:dyDescent="0.3">
      <c r="B33" s="9">
        <v>42368</v>
      </c>
      <c r="C33" s="3" t="s">
        <v>5</v>
      </c>
      <c r="D33" s="3" t="s">
        <v>11</v>
      </c>
      <c r="E33" s="3" t="s">
        <v>16</v>
      </c>
      <c r="F33" s="5" t="s">
        <v>13</v>
      </c>
      <c r="G33" s="4">
        <v>305</v>
      </c>
      <c r="H33" s="3">
        <f t="shared" si="0"/>
        <v>0</v>
      </c>
      <c r="I33" s="3">
        <f t="shared" si="1"/>
        <v>1</v>
      </c>
      <c r="J33" s="3">
        <f t="shared" si="2"/>
        <v>1</v>
      </c>
      <c r="K33" s="35">
        <f t="shared" si="3"/>
        <v>0</v>
      </c>
      <c r="L33" s="3">
        <v>30</v>
      </c>
      <c r="M33" s="35">
        <f t="shared" si="4"/>
        <v>247.32036056559699</v>
      </c>
      <c r="N33" s="35">
        <f t="shared" si="5"/>
        <v>1.2332183217851349</v>
      </c>
      <c r="O33" s="48">
        <f t="shared" si="6"/>
        <v>281.1461239485912</v>
      </c>
      <c r="Q33" s="4" t="s">
        <v>7</v>
      </c>
      <c r="R33" s="48">
        <f>SUMIF($C$4:$C$128,$Q$33,$N$4:$N$128)/COUNTIF($C$4:$C$128,$Q$33)</f>
        <v>1.037744015147902</v>
      </c>
    </row>
    <row r="34" spans="2:20" x14ac:dyDescent="0.3">
      <c r="B34" s="9">
        <v>42369</v>
      </c>
      <c r="C34" s="3" t="s">
        <v>6</v>
      </c>
      <c r="D34" s="3" t="s">
        <v>11</v>
      </c>
      <c r="E34" s="3" t="s">
        <v>29</v>
      </c>
      <c r="F34" s="5" t="s">
        <v>30</v>
      </c>
      <c r="G34" s="4">
        <v>174</v>
      </c>
      <c r="H34" s="3">
        <f t="shared" si="0"/>
        <v>1</v>
      </c>
      <c r="I34" s="3">
        <f t="shared" si="1"/>
        <v>0</v>
      </c>
      <c r="J34" s="3">
        <f t="shared" si="2"/>
        <v>1</v>
      </c>
      <c r="K34" s="35">
        <f t="shared" si="3"/>
        <v>1</v>
      </c>
      <c r="L34" s="3">
        <v>31</v>
      </c>
      <c r="M34" s="35">
        <f t="shared" si="4"/>
        <v>188.94768873810835</v>
      </c>
      <c r="N34" s="35">
        <f t="shared" si="5"/>
        <v>0.92088980374442864</v>
      </c>
      <c r="O34" s="48">
        <f t="shared" si="6"/>
        <v>213.72921772033706</v>
      </c>
      <c r="Q34" s="4" t="s">
        <v>8</v>
      </c>
      <c r="R34" s="48">
        <f>SUMIF($C$4:$C$128,$Q$34,$N$4:$N$128)/COUNTIF($C$4:$C$128,$Q$34)</f>
        <v>0.86935315161715088</v>
      </c>
    </row>
    <row r="35" spans="2:20" x14ac:dyDescent="0.3">
      <c r="B35" s="9">
        <v>42370</v>
      </c>
      <c r="C35" s="3" t="s">
        <v>7</v>
      </c>
      <c r="D35" s="3" t="s">
        <v>11</v>
      </c>
      <c r="E35" s="3" t="s">
        <v>15</v>
      </c>
      <c r="F35" s="5" t="s">
        <v>30</v>
      </c>
      <c r="G35" s="4">
        <v>109</v>
      </c>
      <c r="H35" s="3">
        <f t="shared" si="0"/>
        <v>0</v>
      </c>
      <c r="I35" s="3">
        <f t="shared" si="1"/>
        <v>0</v>
      </c>
      <c r="J35" s="3">
        <f t="shared" si="2"/>
        <v>1</v>
      </c>
      <c r="K35" s="35">
        <f t="shared" si="3"/>
        <v>1</v>
      </c>
      <c r="L35" s="3">
        <v>32</v>
      </c>
      <c r="M35" s="35">
        <f t="shared" si="4"/>
        <v>74.420240025440947</v>
      </c>
      <c r="N35" s="35">
        <f t="shared" si="5"/>
        <v>1.4646553136987703</v>
      </c>
      <c r="O35" s="48">
        <f t="shared" si="6"/>
        <v>77.229158692271696</v>
      </c>
      <c r="Q35" s="4" t="s">
        <v>9</v>
      </c>
      <c r="R35" s="48">
        <f>SUMIF($C$4:$C$128,$Q$35,$N$4:$N$128)/COUNTIF($C$4:$C$128,$Q$35)</f>
        <v>0.50343985503505762</v>
      </c>
    </row>
    <row r="36" spans="2:20" ht="15" thickBot="1" x14ac:dyDescent="0.35">
      <c r="B36" s="9">
        <v>42371</v>
      </c>
      <c r="C36" s="3" t="s">
        <v>8</v>
      </c>
      <c r="D36" s="3" t="s">
        <v>11</v>
      </c>
      <c r="E36" s="3" t="s">
        <v>12</v>
      </c>
      <c r="F36" s="5" t="s">
        <v>13</v>
      </c>
      <c r="G36" s="4">
        <v>144</v>
      </c>
      <c r="H36" s="3">
        <f t="shared" ref="H36:H67" si="7">IF(E36=$H$3,1,0)</f>
        <v>0</v>
      </c>
      <c r="I36" s="3">
        <f t="shared" ref="I36:I67" si="8">IF(E36=$I$3,1,0)</f>
        <v>0</v>
      </c>
      <c r="J36" s="3">
        <f t="shared" ref="J36:J67" si="9">IF(D36=J$3,1,0)</f>
        <v>1</v>
      </c>
      <c r="K36" s="35">
        <f t="shared" ref="K36:K67" si="10">IF(F36="Yes",1,0)</f>
        <v>0</v>
      </c>
      <c r="L36" s="3">
        <v>33</v>
      </c>
      <c r="M36" s="35">
        <f t="shared" si="4"/>
        <v>174.25819419049344</v>
      </c>
      <c r="N36" s="35">
        <f t="shared" si="5"/>
        <v>0.82635999224566647</v>
      </c>
      <c r="O36" s="48">
        <f t="shared" si="6"/>
        <v>151.49191031461896</v>
      </c>
      <c r="Q36" s="6" t="s">
        <v>10</v>
      </c>
      <c r="R36" s="43">
        <f>SUMIF($C$4:$C$128,$Q$36,$N$4:$N$128)/COUNTIF($C$4:$C$128,$Q$36)</f>
        <v>1.0740616331091939</v>
      </c>
      <c r="S36">
        <v>1</v>
      </c>
      <c r="T36" s="33" t="str">
        <f>_xlfn.CONCAT("Significance of F value is ",IF(V14&lt;0.05,"less","greater")," than 0.05 which means model is ",IF(V14&lt;0.05,"good fit","not good fit"))</f>
        <v>Significance of F value is less than 0.05 which means model is good fit</v>
      </c>
    </row>
    <row r="37" spans="2:20" x14ac:dyDescent="0.3">
      <c r="B37" s="9">
        <v>42372</v>
      </c>
      <c r="C37" s="3" t="s">
        <v>9</v>
      </c>
      <c r="D37" s="3" t="s">
        <v>11</v>
      </c>
      <c r="E37" s="3" t="s">
        <v>15</v>
      </c>
      <c r="F37" s="5" t="s">
        <v>13</v>
      </c>
      <c r="G37" s="4">
        <v>79</v>
      </c>
      <c r="H37" s="3">
        <f t="shared" si="7"/>
        <v>0</v>
      </c>
      <c r="I37" s="3">
        <f t="shared" si="8"/>
        <v>0</v>
      </c>
      <c r="J37" s="3">
        <f t="shared" si="9"/>
        <v>1</v>
      </c>
      <c r="K37" s="35">
        <f t="shared" si="10"/>
        <v>0</v>
      </c>
      <c r="L37" s="3">
        <v>34</v>
      </c>
      <c r="M37" s="35">
        <f t="shared" si="4"/>
        <v>174.55849658884677</v>
      </c>
      <c r="N37" s="35">
        <f t="shared" si="5"/>
        <v>0.45257035059184636</v>
      </c>
      <c r="O37" s="48">
        <f t="shared" si="6"/>
        <v>87.879704217826614</v>
      </c>
      <c r="S37">
        <v>2</v>
      </c>
      <c r="T37" s="33" t="s">
        <v>84</v>
      </c>
    </row>
    <row r="38" spans="2:20" x14ac:dyDescent="0.3">
      <c r="B38" s="9">
        <v>42373</v>
      </c>
      <c r="C38" s="3" t="s">
        <v>10</v>
      </c>
      <c r="D38" s="3" t="s">
        <v>11</v>
      </c>
      <c r="E38" s="3" t="s">
        <v>15</v>
      </c>
      <c r="F38" s="5" t="s">
        <v>13</v>
      </c>
      <c r="G38" s="4">
        <v>175</v>
      </c>
      <c r="H38" s="3">
        <f t="shared" si="7"/>
        <v>0</v>
      </c>
      <c r="I38" s="3">
        <f t="shared" si="8"/>
        <v>0</v>
      </c>
      <c r="J38" s="3">
        <f t="shared" si="9"/>
        <v>1</v>
      </c>
      <c r="K38" s="35">
        <f t="shared" si="10"/>
        <v>0</v>
      </c>
      <c r="L38" s="3">
        <v>35</v>
      </c>
      <c r="M38" s="35">
        <f t="shared" si="4"/>
        <v>174.85879898720012</v>
      </c>
      <c r="N38" s="35">
        <f t="shared" si="5"/>
        <v>1.0008075144837876</v>
      </c>
      <c r="O38" s="48">
        <f t="shared" si="6"/>
        <v>187.80912720370441</v>
      </c>
      <c r="T38" s="29" t="s">
        <v>32</v>
      </c>
    </row>
    <row r="39" spans="2:20" x14ac:dyDescent="0.3">
      <c r="B39" s="9">
        <v>42374</v>
      </c>
      <c r="C39" s="3" t="s">
        <v>4</v>
      </c>
      <c r="D39" s="3" t="s">
        <v>11</v>
      </c>
      <c r="E39" s="3" t="s">
        <v>12</v>
      </c>
      <c r="F39" s="5" t="s">
        <v>13</v>
      </c>
      <c r="G39" s="4">
        <v>205</v>
      </c>
      <c r="H39" s="3">
        <f t="shared" si="7"/>
        <v>0</v>
      </c>
      <c r="I39" s="3">
        <f t="shared" si="8"/>
        <v>0</v>
      </c>
      <c r="J39" s="3">
        <f t="shared" si="9"/>
        <v>1</v>
      </c>
      <c r="K39" s="35">
        <f t="shared" si="10"/>
        <v>0</v>
      </c>
      <c r="L39" s="3">
        <v>36</v>
      </c>
      <c r="M39" s="35">
        <f t="shared" si="4"/>
        <v>175.15910138555344</v>
      </c>
      <c r="N39" s="35">
        <f t="shared" si="5"/>
        <v>1.1703645336062893</v>
      </c>
      <c r="O39" s="48">
        <f t="shared" si="6"/>
        <v>222.22425990363089</v>
      </c>
      <c r="T39" s="29" t="s">
        <v>16</v>
      </c>
    </row>
    <row r="40" spans="2:20" x14ac:dyDescent="0.3">
      <c r="B40" s="9">
        <v>42375</v>
      </c>
      <c r="C40" s="3" t="s">
        <v>5</v>
      </c>
      <c r="D40" s="3" t="s">
        <v>11</v>
      </c>
      <c r="E40" s="3" t="s">
        <v>12</v>
      </c>
      <c r="F40" s="5" t="s">
        <v>13</v>
      </c>
      <c r="G40" s="4">
        <v>189</v>
      </c>
      <c r="H40" s="3">
        <f t="shared" si="7"/>
        <v>0</v>
      </c>
      <c r="I40" s="3">
        <f t="shared" si="8"/>
        <v>0</v>
      </c>
      <c r="J40" s="3">
        <f t="shared" si="9"/>
        <v>1</v>
      </c>
      <c r="K40" s="35">
        <f t="shared" si="10"/>
        <v>0</v>
      </c>
      <c r="L40" s="3">
        <v>37</v>
      </c>
      <c r="M40" s="35">
        <f t="shared" si="4"/>
        <v>175.45940378390677</v>
      </c>
      <c r="N40" s="35">
        <f t="shared" si="5"/>
        <v>1.0771722456823667</v>
      </c>
      <c r="O40" s="48">
        <f t="shared" si="6"/>
        <v>199.45681451928985</v>
      </c>
      <c r="T40" s="29" t="s">
        <v>11</v>
      </c>
    </row>
    <row r="41" spans="2:20" ht="15" thickBot="1" x14ac:dyDescent="0.35">
      <c r="B41" s="9">
        <v>42376</v>
      </c>
      <c r="C41" s="3" t="s">
        <v>6</v>
      </c>
      <c r="D41" s="3" t="s">
        <v>11</v>
      </c>
      <c r="E41" s="3" t="s">
        <v>12</v>
      </c>
      <c r="F41" s="5" t="s">
        <v>13</v>
      </c>
      <c r="G41" s="4">
        <v>191</v>
      </c>
      <c r="H41" s="3">
        <f t="shared" si="7"/>
        <v>0</v>
      </c>
      <c r="I41" s="3">
        <f t="shared" si="8"/>
        <v>0</v>
      </c>
      <c r="J41" s="3">
        <f t="shared" si="9"/>
        <v>1</v>
      </c>
      <c r="K41" s="35">
        <f t="shared" si="10"/>
        <v>0</v>
      </c>
      <c r="L41" s="3">
        <v>38</v>
      </c>
      <c r="M41" s="35">
        <f t="shared" si="4"/>
        <v>175.75970618226009</v>
      </c>
      <c r="N41" s="35">
        <f t="shared" si="5"/>
        <v>1.0867109654924887</v>
      </c>
      <c r="O41" s="48">
        <f t="shared" si="6"/>
        <v>198.81155869102915</v>
      </c>
      <c r="T41" s="30" t="s">
        <v>34</v>
      </c>
    </row>
    <row r="42" spans="2:20" x14ac:dyDescent="0.3">
      <c r="B42" s="9">
        <v>42377</v>
      </c>
      <c r="C42" s="3" t="s">
        <v>7</v>
      </c>
      <c r="D42" s="3" t="s">
        <v>11</v>
      </c>
      <c r="E42" s="3" t="s">
        <v>15</v>
      </c>
      <c r="F42" s="5" t="s">
        <v>13</v>
      </c>
      <c r="G42" s="4">
        <v>186</v>
      </c>
      <c r="H42" s="3">
        <f t="shared" si="7"/>
        <v>0</v>
      </c>
      <c r="I42" s="3">
        <f t="shared" si="8"/>
        <v>0</v>
      </c>
      <c r="J42" s="3">
        <f t="shared" si="9"/>
        <v>1</v>
      </c>
      <c r="K42" s="35">
        <f t="shared" si="10"/>
        <v>0</v>
      </c>
      <c r="L42" s="3">
        <v>39</v>
      </c>
      <c r="M42" s="35">
        <f t="shared" si="4"/>
        <v>176.06000858061341</v>
      </c>
      <c r="N42" s="35">
        <f t="shared" si="5"/>
        <v>1.0564579741846105</v>
      </c>
      <c r="O42" s="48">
        <f t="shared" si="6"/>
        <v>182.70522021141986</v>
      </c>
      <c r="S42">
        <v>3</v>
      </c>
      <c r="T42" s="44" t="s">
        <v>85</v>
      </c>
    </row>
    <row r="43" spans="2:20" x14ac:dyDescent="0.3">
      <c r="B43" s="9">
        <v>42378</v>
      </c>
      <c r="C43" s="3" t="s">
        <v>8</v>
      </c>
      <c r="D43" s="3" t="s">
        <v>11</v>
      </c>
      <c r="E43" s="3" t="s">
        <v>15</v>
      </c>
      <c r="F43" s="5" t="s">
        <v>13</v>
      </c>
      <c r="G43" s="4">
        <v>155</v>
      </c>
      <c r="H43" s="3">
        <f t="shared" si="7"/>
        <v>0</v>
      </c>
      <c r="I43" s="3">
        <f t="shared" si="8"/>
        <v>0</v>
      </c>
      <c r="J43" s="3">
        <f t="shared" si="9"/>
        <v>1</v>
      </c>
      <c r="K43" s="35">
        <f t="shared" si="10"/>
        <v>0</v>
      </c>
      <c r="L43" s="3">
        <v>40</v>
      </c>
      <c r="M43" s="35">
        <f t="shared" si="4"/>
        <v>176.36031097896674</v>
      </c>
      <c r="N43" s="35">
        <f t="shared" si="5"/>
        <v>0.87888255095266743</v>
      </c>
      <c r="O43" s="48">
        <f t="shared" si="6"/>
        <v>153.31939216974556</v>
      </c>
      <c r="S43">
        <v>4</v>
      </c>
      <c r="T43" s="33" t="str">
        <f>_xlfn.CONCAT("Adjusted R square is ",ROUND(R8,3))</f>
        <v>Adjusted R square is 0.401</v>
      </c>
    </row>
    <row r="44" spans="2:20" x14ac:dyDescent="0.3">
      <c r="B44" s="9">
        <v>42379</v>
      </c>
      <c r="C44" s="3" t="s">
        <v>9</v>
      </c>
      <c r="D44" s="3" t="s">
        <v>14</v>
      </c>
      <c r="E44" s="3" t="s">
        <v>16</v>
      </c>
      <c r="F44" s="5" t="s">
        <v>13</v>
      </c>
      <c r="G44" s="4">
        <v>100</v>
      </c>
      <c r="H44" s="3">
        <f t="shared" si="7"/>
        <v>0</v>
      </c>
      <c r="I44" s="3">
        <f t="shared" si="8"/>
        <v>1</v>
      </c>
      <c r="J44" s="3">
        <f t="shared" si="9"/>
        <v>0</v>
      </c>
      <c r="K44" s="35">
        <f t="shared" si="10"/>
        <v>0</v>
      </c>
      <c r="L44" s="3">
        <v>41</v>
      </c>
      <c r="M44" s="35">
        <f t="shared" si="4"/>
        <v>224.67619928874035</v>
      </c>
      <c r="N44" s="35">
        <f t="shared" si="5"/>
        <v>0.44508497258085628</v>
      </c>
      <c r="O44" s="48">
        <f t="shared" si="6"/>
        <v>113.11095319975115</v>
      </c>
    </row>
    <row r="45" spans="2:20" x14ac:dyDescent="0.3">
      <c r="B45" s="9">
        <v>42380</v>
      </c>
      <c r="C45" s="3" t="s">
        <v>10</v>
      </c>
      <c r="D45" s="3" t="s">
        <v>11</v>
      </c>
      <c r="E45" s="3" t="s">
        <v>12</v>
      </c>
      <c r="F45" s="5" t="s">
        <v>13</v>
      </c>
      <c r="G45" s="4">
        <v>164</v>
      </c>
      <c r="H45" s="3">
        <f t="shared" si="7"/>
        <v>0</v>
      </c>
      <c r="I45" s="3">
        <f t="shared" si="8"/>
        <v>0</v>
      </c>
      <c r="J45" s="3">
        <f t="shared" si="9"/>
        <v>1</v>
      </c>
      <c r="K45" s="35">
        <f t="shared" si="10"/>
        <v>0</v>
      </c>
      <c r="L45" s="3">
        <v>42</v>
      </c>
      <c r="M45" s="35">
        <f t="shared" si="4"/>
        <v>176.96091577567341</v>
      </c>
      <c r="N45" s="35">
        <f t="shared" si="5"/>
        <v>0.92675831429295119</v>
      </c>
      <c r="O45" s="48">
        <f t="shared" si="6"/>
        <v>190.06693019451831</v>
      </c>
    </row>
    <row r="46" spans="2:20" x14ac:dyDescent="0.3">
      <c r="B46" s="9">
        <v>42381</v>
      </c>
      <c r="C46" s="3" t="s">
        <v>4</v>
      </c>
      <c r="D46" s="3" t="s">
        <v>11</v>
      </c>
      <c r="E46" s="3" t="s">
        <v>15</v>
      </c>
      <c r="F46" s="5" t="s">
        <v>13</v>
      </c>
      <c r="G46" s="4">
        <v>231</v>
      </c>
      <c r="H46" s="3">
        <f t="shared" si="7"/>
        <v>0</v>
      </c>
      <c r="I46" s="3">
        <f t="shared" si="8"/>
        <v>0</v>
      </c>
      <c r="J46" s="3">
        <f t="shared" si="9"/>
        <v>1</v>
      </c>
      <c r="K46" s="35">
        <f t="shared" si="10"/>
        <v>0</v>
      </c>
      <c r="L46" s="3">
        <v>43</v>
      </c>
      <c r="M46" s="35">
        <f t="shared" si="4"/>
        <v>177.26121817402674</v>
      </c>
      <c r="N46" s="35">
        <f t="shared" si="5"/>
        <v>1.3031615283903502</v>
      </c>
      <c r="O46" s="48">
        <f t="shared" si="6"/>
        <v>224.89121436876727</v>
      </c>
    </row>
    <row r="47" spans="2:20" x14ac:dyDescent="0.3">
      <c r="B47" s="9">
        <v>42382</v>
      </c>
      <c r="C47" s="3" t="s">
        <v>5</v>
      </c>
      <c r="D47" s="3" t="s">
        <v>11</v>
      </c>
      <c r="E47" s="3" t="s">
        <v>12</v>
      </c>
      <c r="F47" s="5" t="s">
        <v>13</v>
      </c>
      <c r="G47" s="4">
        <v>196</v>
      </c>
      <c r="H47" s="3">
        <f t="shared" si="7"/>
        <v>0</v>
      </c>
      <c r="I47" s="3">
        <f t="shared" si="8"/>
        <v>0</v>
      </c>
      <c r="J47" s="3">
        <f t="shared" si="9"/>
        <v>1</v>
      </c>
      <c r="K47" s="35">
        <f t="shared" si="10"/>
        <v>0</v>
      </c>
      <c r="L47" s="3">
        <v>44</v>
      </c>
      <c r="M47" s="35">
        <f t="shared" si="4"/>
        <v>177.56152057238006</v>
      </c>
      <c r="N47" s="35">
        <f t="shared" si="5"/>
        <v>1.1038427659787009</v>
      </c>
      <c r="O47" s="48">
        <f t="shared" si="6"/>
        <v>201.84643576120848</v>
      </c>
    </row>
    <row r="48" spans="2:20" x14ac:dyDescent="0.3">
      <c r="B48" s="9">
        <v>42383</v>
      </c>
      <c r="C48" s="3" t="s">
        <v>6</v>
      </c>
      <c r="D48" s="3" t="s">
        <v>11</v>
      </c>
      <c r="E48" s="3" t="s">
        <v>15</v>
      </c>
      <c r="F48" s="5" t="s">
        <v>13</v>
      </c>
      <c r="G48" s="4">
        <v>216</v>
      </c>
      <c r="H48" s="3">
        <f t="shared" si="7"/>
        <v>0</v>
      </c>
      <c r="I48" s="3">
        <f t="shared" si="8"/>
        <v>0</v>
      </c>
      <c r="J48" s="3">
        <f t="shared" si="9"/>
        <v>1</v>
      </c>
      <c r="K48" s="35">
        <f t="shared" si="10"/>
        <v>0</v>
      </c>
      <c r="L48" s="3">
        <v>45</v>
      </c>
      <c r="M48" s="35">
        <f t="shared" si="4"/>
        <v>177.86182297073339</v>
      </c>
      <c r="N48" s="35">
        <f t="shared" si="5"/>
        <v>1.2144258750543793</v>
      </c>
      <c r="O48" s="48">
        <f t="shared" si="6"/>
        <v>201.18937966231351</v>
      </c>
    </row>
    <row r="49" spans="2:15" x14ac:dyDescent="0.3">
      <c r="B49" s="9">
        <v>42384</v>
      </c>
      <c r="C49" s="3" t="s">
        <v>7</v>
      </c>
      <c r="D49" s="3" t="s">
        <v>11</v>
      </c>
      <c r="E49" s="3" t="s">
        <v>15</v>
      </c>
      <c r="F49" s="5" t="s">
        <v>13</v>
      </c>
      <c r="G49" s="4">
        <v>193</v>
      </c>
      <c r="H49" s="3">
        <f t="shared" si="7"/>
        <v>0</v>
      </c>
      <c r="I49" s="3">
        <f t="shared" si="8"/>
        <v>0</v>
      </c>
      <c r="J49" s="3">
        <f t="shared" si="9"/>
        <v>1</v>
      </c>
      <c r="K49" s="35">
        <f t="shared" si="10"/>
        <v>0</v>
      </c>
      <c r="L49" s="3">
        <v>46</v>
      </c>
      <c r="M49" s="35">
        <f t="shared" si="4"/>
        <v>178.16212536908671</v>
      </c>
      <c r="N49" s="35">
        <f t="shared" si="5"/>
        <v>1.0832829907039705</v>
      </c>
      <c r="O49" s="48">
        <f t="shared" si="6"/>
        <v>184.88667932779995</v>
      </c>
    </row>
    <row r="50" spans="2:15" x14ac:dyDescent="0.3">
      <c r="B50" s="9">
        <v>42385</v>
      </c>
      <c r="C50" s="3" t="s">
        <v>8</v>
      </c>
      <c r="D50" s="3" t="s">
        <v>11</v>
      </c>
      <c r="E50" s="3" t="s">
        <v>16</v>
      </c>
      <c r="F50" s="5" t="s">
        <v>13</v>
      </c>
      <c r="G50" s="4">
        <v>223</v>
      </c>
      <c r="H50" s="3">
        <f t="shared" si="7"/>
        <v>0</v>
      </c>
      <c r="I50" s="3">
        <f t="shared" si="8"/>
        <v>1</v>
      </c>
      <c r="J50" s="3">
        <f t="shared" si="9"/>
        <v>1</v>
      </c>
      <c r="K50" s="35">
        <f t="shared" si="10"/>
        <v>0</v>
      </c>
      <c r="L50" s="3">
        <v>47</v>
      </c>
      <c r="M50" s="35">
        <f t="shared" si="4"/>
        <v>252.42550133760355</v>
      </c>
      <c r="N50" s="35">
        <f t="shared" si="5"/>
        <v>0.88342896743127097</v>
      </c>
      <c r="O50" s="48">
        <f t="shared" si="6"/>
        <v>219.44690513638497</v>
      </c>
    </row>
    <row r="51" spans="2:15" x14ac:dyDescent="0.3">
      <c r="B51" s="9">
        <v>42386</v>
      </c>
      <c r="C51" s="3" t="s">
        <v>9</v>
      </c>
      <c r="D51" s="3" t="s">
        <v>11</v>
      </c>
      <c r="E51" s="3" t="s">
        <v>15</v>
      </c>
      <c r="F51" s="5" t="s">
        <v>13</v>
      </c>
      <c r="G51" s="4">
        <v>83</v>
      </c>
      <c r="H51" s="3">
        <f t="shared" si="7"/>
        <v>0</v>
      </c>
      <c r="I51" s="3">
        <f t="shared" si="8"/>
        <v>0</v>
      </c>
      <c r="J51" s="3">
        <f t="shared" si="9"/>
        <v>1</v>
      </c>
      <c r="K51" s="35">
        <f t="shared" si="10"/>
        <v>0</v>
      </c>
      <c r="L51" s="3">
        <v>48</v>
      </c>
      <c r="M51" s="35">
        <f t="shared" si="4"/>
        <v>178.76273016579336</v>
      </c>
      <c r="N51" s="35">
        <f t="shared" si="5"/>
        <v>0.46430259776756438</v>
      </c>
      <c r="O51" s="48">
        <f t="shared" si="6"/>
        <v>89.996282960338135</v>
      </c>
    </row>
    <row r="52" spans="2:15" x14ac:dyDescent="0.3">
      <c r="B52" s="9">
        <v>42387</v>
      </c>
      <c r="C52" s="3" t="s">
        <v>10</v>
      </c>
      <c r="D52" s="3" t="s">
        <v>11</v>
      </c>
      <c r="E52" s="3" t="s">
        <v>12</v>
      </c>
      <c r="F52" s="5" t="s">
        <v>30</v>
      </c>
      <c r="G52" s="4">
        <v>93</v>
      </c>
      <c r="H52" s="3">
        <f t="shared" si="7"/>
        <v>0</v>
      </c>
      <c r="I52" s="3">
        <f t="shared" si="8"/>
        <v>0</v>
      </c>
      <c r="J52" s="3">
        <f t="shared" si="9"/>
        <v>1</v>
      </c>
      <c r="K52" s="35">
        <f t="shared" si="10"/>
        <v>1</v>
      </c>
      <c r="L52" s="3">
        <v>49</v>
      </c>
      <c r="M52" s="35">
        <f t="shared" si="4"/>
        <v>79.525380797447525</v>
      </c>
      <c r="N52" s="35">
        <f t="shared" si="5"/>
        <v>1.16943797146816</v>
      </c>
      <c r="O52" s="48">
        <f t="shared" si="6"/>
        <v>85.415160372937024</v>
      </c>
    </row>
    <row r="53" spans="2:15" x14ac:dyDescent="0.3">
      <c r="B53" s="9">
        <v>42388</v>
      </c>
      <c r="C53" s="3" t="s">
        <v>4</v>
      </c>
      <c r="D53" s="3" t="s">
        <v>11</v>
      </c>
      <c r="E53" s="3" t="s">
        <v>12</v>
      </c>
      <c r="F53" s="5" t="s">
        <v>13</v>
      </c>
      <c r="G53" s="4">
        <v>208</v>
      </c>
      <c r="H53" s="3">
        <f t="shared" si="7"/>
        <v>0</v>
      </c>
      <c r="I53" s="3">
        <f t="shared" si="8"/>
        <v>0</v>
      </c>
      <c r="J53" s="3">
        <f t="shared" si="9"/>
        <v>1</v>
      </c>
      <c r="K53" s="35">
        <f t="shared" si="10"/>
        <v>0</v>
      </c>
      <c r="L53" s="3">
        <v>50</v>
      </c>
      <c r="M53" s="35">
        <f t="shared" si="4"/>
        <v>179.36333496250003</v>
      </c>
      <c r="N53" s="35">
        <f t="shared" si="5"/>
        <v>1.1596572958653288</v>
      </c>
      <c r="O53" s="48">
        <f t="shared" si="6"/>
        <v>227.55816883390364</v>
      </c>
    </row>
    <row r="54" spans="2:15" x14ac:dyDescent="0.3">
      <c r="B54" s="9">
        <v>42389</v>
      </c>
      <c r="C54" s="3" t="s">
        <v>5</v>
      </c>
      <c r="D54" s="3" t="s">
        <v>11</v>
      </c>
      <c r="E54" s="3" t="s">
        <v>15</v>
      </c>
      <c r="F54" s="5" t="s">
        <v>13</v>
      </c>
      <c r="G54" s="4">
        <v>213</v>
      </c>
      <c r="H54" s="3">
        <f t="shared" si="7"/>
        <v>0</v>
      </c>
      <c r="I54" s="3">
        <f t="shared" si="8"/>
        <v>0</v>
      </c>
      <c r="J54" s="3">
        <f t="shared" si="9"/>
        <v>1</v>
      </c>
      <c r="K54" s="35">
        <f t="shared" si="10"/>
        <v>0</v>
      </c>
      <c r="L54" s="3">
        <v>51</v>
      </c>
      <c r="M54" s="35">
        <f t="shared" si="4"/>
        <v>179.66363736085336</v>
      </c>
      <c r="N54" s="35">
        <f t="shared" si="5"/>
        <v>1.1855487461393801</v>
      </c>
      <c r="O54" s="48">
        <f t="shared" si="6"/>
        <v>204.23605700312712</v>
      </c>
    </row>
    <row r="55" spans="2:15" x14ac:dyDescent="0.3">
      <c r="B55" s="9">
        <v>42390</v>
      </c>
      <c r="C55" s="3" t="s">
        <v>6</v>
      </c>
      <c r="D55" s="3" t="s">
        <v>11</v>
      </c>
      <c r="E55" s="3" t="s">
        <v>12</v>
      </c>
      <c r="F55" s="5" t="s">
        <v>13</v>
      </c>
      <c r="G55" s="4">
        <v>201</v>
      </c>
      <c r="H55" s="3">
        <f t="shared" si="7"/>
        <v>0</v>
      </c>
      <c r="I55" s="3">
        <f t="shared" si="8"/>
        <v>0</v>
      </c>
      <c r="J55" s="3">
        <f t="shared" si="9"/>
        <v>1</v>
      </c>
      <c r="K55" s="35">
        <f t="shared" si="10"/>
        <v>0</v>
      </c>
      <c r="L55" s="3">
        <v>52</v>
      </c>
      <c r="M55" s="35">
        <f t="shared" si="4"/>
        <v>179.96393975920668</v>
      </c>
      <c r="N55" s="35">
        <f t="shared" si="5"/>
        <v>1.1168904185412909</v>
      </c>
      <c r="O55" s="48">
        <f t="shared" si="6"/>
        <v>203.56720063359788</v>
      </c>
    </row>
    <row r="56" spans="2:15" x14ac:dyDescent="0.3">
      <c r="B56" s="9">
        <v>42391</v>
      </c>
      <c r="C56" s="3" t="s">
        <v>7</v>
      </c>
      <c r="D56" s="3" t="s">
        <v>11</v>
      </c>
      <c r="E56" s="3" t="s">
        <v>12</v>
      </c>
      <c r="F56" s="5" t="s">
        <v>13</v>
      </c>
      <c r="G56" s="4">
        <v>177</v>
      </c>
      <c r="H56" s="3">
        <f t="shared" si="7"/>
        <v>0</v>
      </c>
      <c r="I56" s="3">
        <f t="shared" si="8"/>
        <v>0</v>
      </c>
      <c r="J56" s="3">
        <f t="shared" si="9"/>
        <v>1</v>
      </c>
      <c r="K56" s="35">
        <f t="shared" si="10"/>
        <v>0</v>
      </c>
      <c r="L56" s="3">
        <v>53</v>
      </c>
      <c r="M56" s="35">
        <f t="shared" si="4"/>
        <v>180.26424215756001</v>
      </c>
      <c r="N56" s="35">
        <f t="shared" si="5"/>
        <v>0.9818919042485037</v>
      </c>
      <c r="O56" s="48">
        <f t="shared" si="6"/>
        <v>187.06813844418002</v>
      </c>
    </row>
    <row r="57" spans="2:15" x14ac:dyDescent="0.3">
      <c r="B57" s="9">
        <v>42392</v>
      </c>
      <c r="C57" s="3" t="s">
        <v>8</v>
      </c>
      <c r="D57" s="3" t="s">
        <v>11</v>
      </c>
      <c r="E57" s="3" t="s">
        <v>15</v>
      </c>
      <c r="F57" s="5" t="s">
        <v>13</v>
      </c>
      <c r="G57" s="4">
        <v>165</v>
      </c>
      <c r="H57" s="3">
        <f t="shared" si="7"/>
        <v>0</v>
      </c>
      <c r="I57" s="3">
        <f t="shared" si="8"/>
        <v>0</v>
      </c>
      <c r="J57" s="3">
        <f t="shared" si="9"/>
        <v>1</v>
      </c>
      <c r="K57" s="35">
        <f t="shared" si="10"/>
        <v>0</v>
      </c>
      <c r="L57" s="3">
        <v>54</v>
      </c>
      <c r="M57" s="35">
        <f t="shared" si="4"/>
        <v>180.56454455591333</v>
      </c>
      <c r="N57" s="35">
        <f t="shared" si="5"/>
        <v>0.91380066006760463</v>
      </c>
      <c r="O57" s="48">
        <f t="shared" si="6"/>
        <v>156.97435587999871</v>
      </c>
    </row>
    <row r="58" spans="2:15" x14ac:dyDescent="0.3">
      <c r="B58" s="9">
        <v>42393</v>
      </c>
      <c r="C58" s="3" t="s">
        <v>9</v>
      </c>
      <c r="D58" s="3" t="s">
        <v>11</v>
      </c>
      <c r="E58" s="3" t="s">
        <v>12</v>
      </c>
      <c r="F58" s="5" t="s">
        <v>13</v>
      </c>
      <c r="G58" s="4">
        <v>80</v>
      </c>
      <c r="H58" s="3">
        <f t="shared" si="7"/>
        <v>0</v>
      </c>
      <c r="I58" s="3">
        <f t="shared" si="8"/>
        <v>0</v>
      </c>
      <c r="J58" s="3">
        <f t="shared" si="9"/>
        <v>1</v>
      </c>
      <c r="K58" s="35">
        <f t="shared" si="10"/>
        <v>0</v>
      </c>
      <c r="L58" s="3">
        <v>55</v>
      </c>
      <c r="M58" s="35">
        <f t="shared" si="4"/>
        <v>180.86484695426665</v>
      </c>
      <c r="N58" s="35">
        <f t="shared" si="5"/>
        <v>0.44231923089083608</v>
      </c>
      <c r="O58" s="48">
        <f t="shared" si="6"/>
        <v>91.054572331593889</v>
      </c>
    </row>
    <row r="59" spans="2:15" x14ac:dyDescent="0.3">
      <c r="B59" s="9">
        <v>42394</v>
      </c>
      <c r="C59" s="3" t="s">
        <v>10</v>
      </c>
      <c r="D59" s="3" t="s">
        <v>11</v>
      </c>
      <c r="E59" s="3" t="s">
        <v>15</v>
      </c>
      <c r="F59" s="5" t="s">
        <v>13</v>
      </c>
      <c r="G59" s="4">
        <v>190</v>
      </c>
      <c r="H59" s="3">
        <f t="shared" si="7"/>
        <v>0</v>
      </c>
      <c r="I59" s="3">
        <f t="shared" si="8"/>
        <v>0</v>
      </c>
      <c r="J59" s="3">
        <f t="shared" si="9"/>
        <v>1</v>
      </c>
      <c r="K59" s="35">
        <f t="shared" si="10"/>
        <v>0</v>
      </c>
      <c r="L59" s="3">
        <v>56</v>
      </c>
      <c r="M59" s="35">
        <f t="shared" si="4"/>
        <v>181.16514935261998</v>
      </c>
      <c r="N59" s="35">
        <f t="shared" si="5"/>
        <v>1.0487668333504025</v>
      </c>
      <c r="O59" s="48">
        <f t="shared" si="6"/>
        <v>194.58253617614602</v>
      </c>
    </row>
    <row r="60" spans="2:15" x14ac:dyDescent="0.3">
      <c r="B60" s="9">
        <v>42395</v>
      </c>
      <c r="C60" s="3" t="s">
        <v>4</v>
      </c>
      <c r="D60" s="3" t="s">
        <v>14</v>
      </c>
      <c r="E60" s="3" t="s">
        <v>15</v>
      </c>
      <c r="F60" s="5" t="s">
        <v>13</v>
      </c>
      <c r="G60" s="4">
        <v>210</v>
      </c>
      <c r="H60" s="3">
        <f t="shared" si="7"/>
        <v>0</v>
      </c>
      <c r="I60" s="3">
        <f t="shared" si="8"/>
        <v>0</v>
      </c>
      <c r="J60" s="3">
        <f t="shared" si="9"/>
        <v>0</v>
      </c>
      <c r="K60" s="35">
        <f t="shared" si="10"/>
        <v>0</v>
      </c>
      <c r="L60" s="3">
        <v>57</v>
      </c>
      <c r="M60" s="35">
        <f t="shared" si="4"/>
        <v>155.5179640922301</v>
      </c>
      <c r="N60" s="35">
        <f t="shared" si="5"/>
        <v>1.3503263190576444</v>
      </c>
      <c r="O60" s="48">
        <f t="shared" si="6"/>
        <v>197.30555933855496</v>
      </c>
    </row>
    <row r="61" spans="2:15" x14ac:dyDescent="0.3">
      <c r="B61" s="9">
        <v>42396</v>
      </c>
      <c r="C61" s="3" t="s">
        <v>5</v>
      </c>
      <c r="D61" s="3" t="s">
        <v>14</v>
      </c>
      <c r="E61" s="3" t="s">
        <v>15</v>
      </c>
      <c r="F61" s="5" t="s">
        <v>13</v>
      </c>
      <c r="G61" s="4">
        <v>189</v>
      </c>
      <c r="H61" s="3">
        <f t="shared" si="7"/>
        <v>0</v>
      </c>
      <c r="I61" s="3">
        <f t="shared" si="8"/>
        <v>0</v>
      </c>
      <c r="J61" s="3">
        <f t="shared" si="9"/>
        <v>0</v>
      </c>
      <c r="K61" s="35">
        <f t="shared" si="10"/>
        <v>0</v>
      </c>
      <c r="L61" s="3">
        <v>58</v>
      </c>
      <c r="M61" s="35">
        <f t="shared" si="4"/>
        <v>155.81826649058343</v>
      </c>
      <c r="N61" s="35">
        <f t="shared" si="5"/>
        <v>1.2129514995690307</v>
      </c>
      <c r="O61" s="48">
        <f t="shared" si="6"/>
        <v>177.12937812330671</v>
      </c>
    </row>
    <row r="62" spans="2:15" x14ac:dyDescent="0.3">
      <c r="B62" s="9">
        <v>42397</v>
      </c>
      <c r="C62" s="3" t="s">
        <v>6</v>
      </c>
      <c r="D62" s="3" t="s">
        <v>11</v>
      </c>
      <c r="E62" s="3" t="s">
        <v>15</v>
      </c>
      <c r="F62" s="5" t="s">
        <v>13</v>
      </c>
      <c r="G62" s="4">
        <v>233</v>
      </c>
      <c r="H62" s="3">
        <f t="shared" si="7"/>
        <v>0</v>
      </c>
      <c r="I62" s="3">
        <f t="shared" si="8"/>
        <v>0</v>
      </c>
      <c r="J62" s="3">
        <f t="shared" si="9"/>
        <v>1</v>
      </c>
      <c r="K62" s="35">
        <f t="shared" si="10"/>
        <v>0</v>
      </c>
      <c r="L62" s="3">
        <v>59</v>
      </c>
      <c r="M62" s="35">
        <f t="shared" si="4"/>
        <v>182.06605654767998</v>
      </c>
      <c r="N62" s="35">
        <f t="shared" si="5"/>
        <v>1.2797552955126552</v>
      </c>
      <c r="O62" s="48">
        <f t="shared" si="6"/>
        <v>205.94502160488224</v>
      </c>
    </row>
    <row r="63" spans="2:15" x14ac:dyDescent="0.3">
      <c r="B63" s="9">
        <v>42398</v>
      </c>
      <c r="C63" s="3" t="s">
        <v>7</v>
      </c>
      <c r="D63" s="3" t="s">
        <v>11</v>
      </c>
      <c r="E63" s="3" t="s">
        <v>15</v>
      </c>
      <c r="F63" s="5" t="s">
        <v>13</v>
      </c>
      <c r="G63" s="4">
        <v>197</v>
      </c>
      <c r="H63" s="3">
        <f t="shared" si="7"/>
        <v>0</v>
      </c>
      <c r="I63" s="3">
        <f t="shared" si="8"/>
        <v>0</v>
      </c>
      <c r="J63" s="3">
        <f t="shared" si="9"/>
        <v>1</v>
      </c>
      <c r="K63" s="35">
        <f t="shared" si="10"/>
        <v>0</v>
      </c>
      <c r="L63" s="3">
        <v>60</v>
      </c>
      <c r="M63" s="35">
        <f t="shared" si="4"/>
        <v>182.3663589460333</v>
      </c>
      <c r="N63" s="35">
        <f t="shared" si="5"/>
        <v>1.0802430949356023</v>
      </c>
      <c r="O63" s="48">
        <f t="shared" si="6"/>
        <v>189.24959756056012</v>
      </c>
    </row>
    <row r="64" spans="2:15" x14ac:dyDescent="0.3">
      <c r="B64" s="9">
        <v>42399</v>
      </c>
      <c r="C64" s="3" t="s">
        <v>8</v>
      </c>
      <c r="D64" s="3" t="s">
        <v>11</v>
      </c>
      <c r="E64" s="3" t="s">
        <v>15</v>
      </c>
      <c r="F64" s="5" t="s">
        <v>13</v>
      </c>
      <c r="G64" s="4">
        <v>160</v>
      </c>
      <c r="H64" s="3">
        <f t="shared" si="7"/>
        <v>0</v>
      </c>
      <c r="I64" s="3">
        <f t="shared" si="8"/>
        <v>0</v>
      </c>
      <c r="J64" s="3">
        <f t="shared" si="9"/>
        <v>1</v>
      </c>
      <c r="K64" s="35">
        <f t="shared" si="10"/>
        <v>0</v>
      </c>
      <c r="L64" s="3">
        <v>61</v>
      </c>
      <c r="M64" s="35">
        <f t="shared" si="4"/>
        <v>182.66666134438663</v>
      </c>
      <c r="N64" s="35">
        <f t="shared" si="5"/>
        <v>0.87591243428020771</v>
      </c>
      <c r="O64" s="48">
        <f t="shared" si="6"/>
        <v>158.8018377351253</v>
      </c>
    </row>
    <row r="65" spans="2:15" x14ac:dyDescent="0.3">
      <c r="B65" s="9">
        <v>42400</v>
      </c>
      <c r="C65" s="3" t="s">
        <v>9</v>
      </c>
      <c r="D65" s="3" t="s">
        <v>14</v>
      </c>
      <c r="E65" s="3" t="s">
        <v>15</v>
      </c>
      <c r="F65" s="5" t="s">
        <v>13</v>
      </c>
      <c r="G65" s="4">
        <v>79</v>
      </c>
      <c r="H65" s="3">
        <f t="shared" si="7"/>
        <v>0</v>
      </c>
      <c r="I65" s="3">
        <f t="shared" si="8"/>
        <v>0</v>
      </c>
      <c r="J65" s="3">
        <f t="shared" si="9"/>
        <v>0</v>
      </c>
      <c r="K65" s="35">
        <f t="shared" si="10"/>
        <v>0</v>
      </c>
      <c r="L65" s="3">
        <v>62</v>
      </c>
      <c r="M65" s="35">
        <f t="shared" si="4"/>
        <v>157.01947608399672</v>
      </c>
      <c r="N65" s="35">
        <f t="shared" si="5"/>
        <v>0.50312230030457739</v>
      </c>
      <c r="O65" s="48">
        <f t="shared" si="6"/>
        <v>79.04986227740801</v>
      </c>
    </row>
    <row r="66" spans="2:15" x14ac:dyDescent="0.3">
      <c r="B66" s="9">
        <v>42401</v>
      </c>
      <c r="C66" s="3" t="s">
        <v>10</v>
      </c>
      <c r="D66" s="3" t="s">
        <v>26</v>
      </c>
      <c r="E66" s="3" t="s">
        <v>15</v>
      </c>
      <c r="F66" s="5" t="s">
        <v>13</v>
      </c>
      <c r="G66" s="4">
        <v>159</v>
      </c>
      <c r="H66" s="3">
        <f t="shared" si="7"/>
        <v>0</v>
      </c>
      <c r="I66" s="3">
        <f t="shared" si="8"/>
        <v>0</v>
      </c>
      <c r="J66" s="3">
        <f t="shared" si="9"/>
        <v>0</v>
      </c>
      <c r="K66" s="35">
        <f t="shared" si="10"/>
        <v>0</v>
      </c>
      <c r="L66" s="3">
        <v>63</v>
      </c>
      <c r="M66" s="35">
        <f t="shared" si="4"/>
        <v>157.31977848235005</v>
      </c>
      <c r="N66" s="35">
        <f t="shared" si="5"/>
        <v>1.0106802941998705</v>
      </c>
      <c r="O66" s="48">
        <f t="shared" si="6"/>
        <v>168.97113819712951</v>
      </c>
    </row>
    <row r="67" spans="2:15" x14ac:dyDescent="0.3">
      <c r="B67" s="9">
        <v>42402</v>
      </c>
      <c r="C67" s="3" t="s">
        <v>4</v>
      </c>
      <c r="D67" s="3" t="s">
        <v>14</v>
      </c>
      <c r="E67" s="3" t="s">
        <v>15</v>
      </c>
      <c r="F67" s="5" t="s">
        <v>13</v>
      </c>
      <c r="G67" s="4">
        <v>213</v>
      </c>
      <c r="H67" s="3">
        <f t="shared" si="7"/>
        <v>0</v>
      </c>
      <c r="I67" s="3">
        <f t="shared" si="8"/>
        <v>0</v>
      </c>
      <c r="J67" s="3">
        <f t="shared" si="9"/>
        <v>0</v>
      </c>
      <c r="K67" s="35">
        <f t="shared" si="10"/>
        <v>0</v>
      </c>
      <c r="L67" s="3">
        <v>64</v>
      </c>
      <c r="M67" s="35">
        <f t="shared" si="4"/>
        <v>157.62008088070337</v>
      </c>
      <c r="N67" s="35">
        <f t="shared" si="5"/>
        <v>1.3513506579229051</v>
      </c>
      <c r="O67" s="48">
        <f t="shared" si="6"/>
        <v>199.9725138036913</v>
      </c>
    </row>
    <row r="68" spans="2:15" x14ac:dyDescent="0.3">
      <c r="B68" s="9">
        <v>42403</v>
      </c>
      <c r="C68" s="3" t="s">
        <v>5</v>
      </c>
      <c r="D68" s="3" t="s">
        <v>14</v>
      </c>
      <c r="E68" s="3" t="s">
        <v>16</v>
      </c>
      <c r="F68" s="5" t="s">
        <v>13</v>
      </c>
      <c r="G68" s="4">
        <v>286</v>
      </c>
      <c r="H68" s="3">
        <f t="shared" ref="H68:H99" si="11">IF(E68=$H$3,1,0)</f>
        <v>0</v>
      </c>
      <c r="I68" s="3">
        <f t="shared" ref="I68:I99" si="12">IF(E68=$I$3,1,0)</f>
        <v>1</v>
      </c>
      <c r="J68" s="3">
        <f t="shared" ref="J68:J99" si="13">IF(D68=J$3,1,0)</f>
        <v>0</v>
      </c>
      <c r="K68" s="35">
        <f t="shared" ref="K68:K99" si="14">IF(F68="Yes",1,0)</f>
        <v>0</v>
      </c>
      <c r="L68" s="3">
        <v>65</v>
      </c>
      <c r="M68" s="35">
        <f t="shared" si="4"/>
        <v>231.88345684922024</v>
      </c>
      <c r="N68" s="35">
        <f t="shared" si="5"/>
        <v>1.2333781973328459</v>
      </c>
      <c r="O68" s="48">
        <f t="shared" si="6"/>
        <v>263.59793003644535</v>
      </c>
    </row>
    <row r="69" spans="2:15" x14ac:dyDescent="0.3">
      <c r="B69" s="9">
        <v>42404</v>
      </c>
      <c r="C69" s="3" t="s">
        <v>6</v>
      </c>
      <c r="D69" s="3" t="s">
        <v>14</v>
      </c>
      <c r="E69" s="3" t="s">
        <v>15</v>
      </c>
      <c r="F69" s="5" t="s">
        <v>13</v>
      </c>
      <c r="G69" s="4">
        <v>205</v>
      </c>
      <c r="H69" s="3">
        <f t="shared" si="11"/>
        <v>0</v>
      </c>
      <c r="I69" s="3">
        <f t="shared" si="12"/>
        <v>0</v>
      </c>
      <c r="J69" s="3">
        <f t="shared" si="13"/>
        <v>0</v>
      </c>
      <c r="K69" s="35">
        <f t="shared" si="14"/>
        <v>0</v>
      </c>
      <c r="L69" s="3">
        <v>66</v>
      </c>
      <c r="M69" s="35">
        <f t="shared" ref="M69:M138" si="15">$R$19+$R$20*H69+$R$21*I69+$R$22*J69+$R$23*K69+$R$24*L69</f>
        <v>158.22068567741005</v>
      </c>
      <c r="N69" s="35">
        <f t="shared" ref="N69:N138" si="16">G69/M69</f>
        <v>1.2956586499565959</v>
      </c>
      <c r="O69" s="48">
        <f t="shared" ref="O69:O138" si="17">VLOOKUP(C69,$Q$30:$R$36,2,FALSE)*M69</f>
        <v>178.97219914597372</v>
      </c>
    </row>
    <row r="70" spans="2:15" x14ac:dyDescent="0.3">
      <c r="B70" s="9">
        <v>42405</v>
      </c>
      <c r="C70" s="3" t="s">
        <v>7</v>
      </c>
      <c r="D70" s="3" t="s">
        <v>11</v>
      </c>
      <c r="E70" s="3" t="s">
        <v>16</v>
      </c>
      <c r="F70" s="5" t="s">
        <v>13</v>
      </c>
      <c r="G70" s="4">
        <v>297</v>
      </c>
      <c r="H70" s="3">
        <f t="shared" si="11"/>
        <v>0</v>
      </c>
      <c r="I70" s="3">
        <f t="shared" si="12"/>
        <v>1</v>
      </c>
      <c r="J70" s="3">
        <f t="shared" si="13"/>
        <v>1</v>
      </c>
      <c r="K70" s="35">
        <f t="shared" si="14"/>
        <v>0</v>
      </c>
      <c r="L70" s="3">
        <v>67</v>
      </c>
      <c r="M70" s="35">
        <f t="shared" si="15"/>
        <v>258.43154930467011</v>
      </c>
      <c r="N70" s="35">
        <f t="shared" si="16"/>
        <v>1.1492404886288119</v>
      </c>
      <c r="O70" s="48">
        <f t="shared" si="17"/>
        <v>268.18579361632135</v>
      </c>
    </row>
    <row r="71" spans="2:15" x14ac:dyDescent="0.3">
      <c r="B71" s="9">
        <v>42406</v>
      </c>
      <c r="C71" s="3" t="s">
        <v>8</v>
      </c>
      <c r="D71" s="3" t="s">
        <v>11</v>
      </c>
      <c r="E71" s="3" t="s">
        <v>15</v>
      </c>
      <c r="F71" s="5" t="s">
        <v>13</v>
      </c>
      <c r="G71" s="4">
        <v>170</v>
      </c>
      <c r="H71" s="3">
        <f t="shared" si="11"/>
        <v>0</v>
      </c>
      <c r="I71" s="3">
        <f t="shared" si="12"/>
        <v>0</v>
      </c>
      <c r="J71" s="3">
        <f t="shared" si="13"/>
        <v>1</v>
      </c>
      <c r="K71" s="35">
        <f t="shared" si="14"/>
        <v>0</v>
      </c>
      <c r="L71" s="3">
        <v>68</v>
      </c>
      <c r="M71" s="35">
        <f t="shared" si="15"/>
        <v>184.76877813285992</v>
      </c>
      <c r="N71" s="35">
        <f t="shared" si="16"/>
        <v>0.92006886508585195</v>
      </c>
      <c r="O71" s="48">
        <f t="shared" si="17"/>
        <v>160.6293195902519</v>
      </c>
    </row>
    <row r="72" spans="2:15" x14ac:dyDescent="0.3">
      <c r="B72" s="9">
        <v>42407</v>
      </c>
      <c r="C72" s="3" t="s">
        <v>9</v>
      </c>
      <c r="D72" s="3" t="s">
        <v>11</v>
      </c>
      <c r="E72" s="3" t="s">
        <v>15</v>
      </c>
      <c r="F72" s="5" t="s">
        <v>13</v>
      </c>
      <c r="G72" s="4">
        <v>86</v>
      </c>
      <c r="H72" s="3">
        <f t="shared" si="11"/>
        <v>0</v>
      </c>
      <c r="I72" s="3">
        <f t="shared" si="12"/>
        <v>0</v>
      </c>
      <c r="J72" s="3">
        <f t="shared" si="13"/>
        <v>1</v>
      </c>
      <c r="K72" s="35">
        <f t="shared" si="14"/>
        <v>0</v>
      </c>
      <c r="L72" s="3">
        <v>69</v>
      </c>
      <c r="M72" s="35">
        <f t="shared" si="15"/>
        <v>185.06908053121325</v>
      </c>
      <c r="N72" s="35">
        <f t="shared" si="16"/>
        <v>0.46469134527037043</v>
      </c>
      <c r="O72" s="48">
        <f t="shared" si="17"/>
        <v>93.171151074105396</v>
      </c>
    </row>
    <row r="73" spans="2:15" x14ac:dyDescent="0.3">
      <c r="B73" s="9">
        <v>42408</v>
      </c>
      <c r="C73" s="3" t="s">
        <v>10</v>
      </c>
      <c r="D73" s="3" t="s">
        <v>11</v>
      </c>
      <c r="E73" s="3" t="s">
        <v>15</v>
      </c>
      <c r="F73" s="5" t="s">
        <v>30</v>
      </c>
      <c r="G73" s="4">
        <v>106</v>
      </c>
      <c r="H73" s="3">
        <f t="shared" si="11"/>
        <v>0</v>
      </c>
      <c r="I73" s="3">
        <f t="shared" si="12"/>
        <v>0</v>
      </c>
      <c r="J73" s="3">
        <f t="shared" si="13"/>
        <v>1</v>
      </c>
      <c r="K73" s="35">
        <f t="shared" si="14"/>
        <v>1</v>
      </c>
      <c r="L73" s="3">
        <v>70</v>
      </c>
      <c r="M73" s="35">
        <f t="shared" si="15"/>
        <v>85.831731162867399</v>
      </c>
      <c r="N73" s="35">
        <f t="shared" si="16"/>
        <v>1.234974508423498</v>
      </c>
      <c r="O73" s="48">
        <f t="shared" si="17"/>
        <v>92.188569345378653</v>
      </c>
    </row>
    <row r="74" spans="2:15" x14ac:dyDescent="0.3">
      <c r="B74" s="9">
        <v>42409</v>
      </c>
      <c r="C74" s="3" t="s">
        <v>4</v>
      </c>
      <c r="D74" s="3" t="s">
        <v>11</v>
      </c>
      <c r="E74" s="3" t="s">
        <v>15</v>
      </c>
      <c r="F74" s="5" t="s">
        <v>13</v>
      </c>
      <c r="G74" s="4">
        <v>246</v>
      </c>
      <c r="H74" s="3">
        <f t="shared" si="11"/>
        <v>0</v>
      </c>
      <c r="I74" s="3">
        <f t="shared" si="12"/>
        <v>0</v>
      </c>
      <c r="J74" s="3">
        <f t="shared" si="13"/>
        <v>1</v>
      </c>
      <c r="K74" s="35">
        <f t="shared" si="14"/>
        <v>0</v>
      </c>
      <c r="L74" s="3">
        <v>71</v>
      </c>
      <c r="M74" s="35">
        <f t="shared" si="15"/>
        <v>185.66968532791989</v>
      </c>
      <c r="N74" s="35">
        <f t="shared" si="16"/>
        <v>1.3249335752658165</v>
      </c>
      <c r="O74" s="48">
        <f t="shared" si="17"/>
        <v>235.55903222931272</v>
      </c>
    </row>
    <row r="75" spans="2:15" x14ac:dyDescent="0.3">
      <c r="B75" s="9">
        <v>42410</v>
      </c>
      <c r="C75" s="3" t="s">
        <v>5</v>
      </c>
      <c r="D75" s="3" t="s">
        <v>11</v>
      </c>
      <c r="E75" s="3" t="s">
        <v>16</v>
      </c>
      <c r="F75" s="5" t="s">
        <v>30</v>
      </c>
      <c r="G75" s="4">
        <v>161</v>
      </c>
      <c r="H75" s="3">
        <f t="shared" si="11"/>
        <v>0</v>
      </c>
      <c r="I75" s="3">
        <f t="shared" si="12"/>
        <v>1</v>
      </c>
      <c r="J75" s="3">
        <f t="shared" si="13"/>
        <v>1</v>
      </c>
      <c r="K75" s="35">
        <f t="shared" si="14"/>
        <v>1</v>
      </c>
      <c r="L75" s="3">
        <v>72</v>
      </c>
      <c r="M75" s="35">
        <f t="shared" si="15"/>
        <v>160.39540952973758</v>
      </c>
      <c r="N75" s="35">
        <f t="shared" si="16"/>
        <v>1.0037693751463026</v>
      </c>
      <c r="O75" s="48">
        <f t="shared" si="17"/>
        <v>182.33253253111033</v>
      </c>
    </row>
    <row r="76" spans="2:15" x14ac:dyDescent="0.3">
      <c r="B76" s="9">
        <v>42411</v>
      </c>
      <c r="C76" s="3" t="s">
        <v>6</v>
      </c>
      <c r="D76" s="3" t="s">
        <v>11</v>
      </c>
      <c r="E76" s="3" t="s">
        <v>12</v>
      </c>
      <c r="F76" s="5" t="s">
        <v>13</v>
      </c>
      <c r="G76" s="4">
        <v>218</v>
      </c>
      <c r="H76" s="3">
        <f t="shared" si="11"/>
        <v>0</v>
      </c>
      <c r="I76" s="3">
        <f t="shared" si="12"/>
        <v>0</v>
      </c>
      <c r="J76" s="3">
        <f t="shared" si="13"/>
        <v>1</v>
      </c>
      <c r="K76" s="35">
        <f t="shared" si="14"/>
        <v>0</v>
      </c>
      <c r="L76" s="3">
        <v>73</v>
      </c>
      <c r="M76" s="35">
        <f t="shared" si="15"/>
        <v>186.27029012462657</v>
      </c>
      <c r="N76" s="35">
        <f t="shared" si="16"/>
        <v>1.17034230125558</v>
      </c>
      <c r="O76" s="48">
        <f t="shared" si="17"/>
        <v>210.70066354745097</v>
      </c>
    </row>
    <row r="77" spans="2:15" x14ac:dyDescent="0.3">
      <c r="B77" s="9">
        <v>42412</v>
      </c>
      <c r="C77" s="3" t="s">
        <v>7</v>
      </c>
      <c r="D77" s="3" t="s">
        <v>11</v>
      </c>
      <c r="E77" s="3" t="s">
        <v>15</v>
      </c>
      <c r="F77" s="5" t="s">
        <v>13</v>
      </c>
      <c r="G77" s="4">
        <v>211</v>
      </c>
      <c r="H77" s="3">
        <f t="shared" si="11"/>
        <v>0</v>
      </c>
      <c r="I77" s="3">
        <f t="shared" si="12"/>
        <v>0</v>
      </c>
      <c r="J77" s="3">
        <f t="shared" si="13"/>
        <v>1</v>
      </c>
      <c r="K77" s="35">
        <f t="shared" si="14"/>
        <v>0</v>
      </c>
      <c r="L77" s="3">
        <v>74</v>
      </c>
      <c r="M77" s="35">
        <f t="shared" si="15"/>
        <v>186.57059252297989</v>
      </c>
      <c r="N77" s="35">
        <f t="shared" si="16"/>
        <v>1.1309392179478186</v>
      </c>
      <c r="O77" s="48">
        <f t="shared" si="17"/>
        <v>193.61251579332031</v>
      </c>
    </row>
    <row r="78" spans="2:15" x14ac:dyDescent="0.3">
      <c r="B78" s="9">
        <v>42413</v>
      </c>
      <c r="C78" s="3" t="s">
        <v>8</v>
      </c>
      <c r="D78" s="3" t="s">
        <v>11</v>
      </c>
      <c r="E78" s="3" t="s">
        <v>12</v>
      </c>
      <c r="F78" s="5" t="s">
        <v>13</v>
      </c>
      <c r="G78" s="4">
        <v>155</v>
      </c>
      <c r="H78" s="3">
        <f t="shared" si="11"/>
        <v>0</v>
      </c>
      <c r="I78" s="3">
        <f t="shared" si="12"/>
        <v>0</v>
      </c>
      <c r="J78" s="3">
        <f t="shared" si="13"/>
        <v>1</v>
      </c>
      <c r="K78" s="35">
        <f t="shared" si="14"/>
        <v>0</v>
      </c>
      <c r="L78" s="3">
        <v>75</v>
      </c>
      <c r="M78" s="35">
        <f t="shared" si="15"/>
        <v>186.87089492133322</v>
      </c>
      <c r="N78" s="35">
        <f t="shared" si="16"/>
        <v>0.8294496586279535</v>
      </c>
      <c r="O78" s="48">
        <f t="shared" si="17"/>
        <v>162.45680144537846</v>
      </c>
    </row>
    <row r="79" spans="2:15" x14ac:dyDescent="0.3">
      <c r="B79" s="9">
        <v>42414</v>
      </c>
      <c r="C79" s="3" t="s">
        <v>9</v>
      </c>
      <c r="D79" s="3" t="s">
        <v>11</v>
      </c>
      <c r="E79" s="3" t="s">
        <v>12</v>
      </c>
      <c r="F79" s="5" t="s">
        <v>30</v>
      </c>
      <c r="G79" s="4">
        <v>61</v>
      </c>
      <c r="H79" s="3">
        <f t="shared" si="11"/>
        <v>0</v>
      </c>
      <c r="I79" s="3">
        <f t="shared" si="12"/>
        <v>0</v>
      </c>
      <c r="J79" s="3">
        <f t="shared" si="13"/>
        <v>1</v>
      </c>
      <c r="K79" s="35">
        <f t="shared" si="14"/>
        <v>1</v>
      </c>
      <c r="L79" s="3">
        <v>76</v>
      </c>
      <c r="M79" s="35">
        <f t="shared" si="15"/>
        <v>87.633545552987371</v>
      </c>
      <c r="N79" s="35">
        <f t="shared" si="16"/>
        <v>0.69608047483502222</v>
      </c>
      <c r="O79" s="48">
        <f t="shared" si="17"/>
        <v>44.118219469404082</v>
      </c>
    </row>
    <row r="80" spans="2:15" x14ac:dyDescent="0.3">
      <c r="B80" s="9">
        <v>42415</v>
      </c>
      <c r="C80" s="3" t="s">
        <v>10</v>
      </c>
      <c r="D80" s="3" t="s">
        <v>11</v>
      </c>
      <c r="E80" s="3" t="s">
        <v>15</v>
      </c>
      <c r="F80" s="5" t="s">
        <v>30</v>
      </c>
      <c r="G80" s="4">
        <v>110</v>
      </c>
      <c r="H80" s="3">
        <f t="shared" si="11"/>
        <v>0</v>
      </c>
      <c r="I80" s="3">
        <f t="shared" si="12"/>
        <v>0</v>
      </c>
      <c r="J80" s="3">
        <f t="shared" si="13"/>
        <v>1</v>
      </c>
      <c r="K80" s="35">
        <f t="shared" si="14"/>
        <v>1</v>
      </c>
      <c r="L80" s="3">
        <v>77</v>
      </c>
      <c r="M80" s="35">
        <f t="shared" si="15"/>
        <v>87.933847951340695</v>
      </c>
      <c r="N80" s="35">
        <f t="shared" si="16"/>
        <v>1.2509403666818935</v>
      </c>
      <c r="O80" s="48">
        <f t="shared" si="17"/>
        <v>94.446372336192525</v>
      </c>
    </row>
    <row r="81" spans="2:15" x14ac:dyDescent="0.3">
      <c r="B81" s="9">
        <v>42416</v>
      </c>
      <c r="C81" s="3" t="s">
        <v>4</v>
      </c>
      <c r="D81" s="3" t="s">
        <v>11</v>
      </c>
      <c r="E81" s="3" t="s">
        <v>29</v>
      </c>
      <c r="F81" s="5" t="s">
        <v>13</v>
      </c>
      <c r="G81" s="4">
        <v>430</v>
      </c>
      <c r="H81" s="3">
        <f t="shared" si="11"/>
        <v>1</v>
      </c>
      <c r="I81" s="3">
        <f t="shared" si="12"/>
        <v>0</v>
      </c>
      <c r="J81" s="3">
        <f t="shared" si="13"/>
        <v>1</v>
      </c>
      <c r="K81" s="35">
        <f t="shared" si="14"/>
        <v>0</v>
      </c>
      <c r="L81" s="3">
        <v>78</v>
      </c>
      <c r="M81" s="35">
        <f t="shared" si="15"/>
        <v>302.59955322741394</v>
      </c>
      <c r="N81" s="35">
        <f t="shared" si="16"/>
        <v>1.421019943399719</v>
      </c>
      <c r="O81" s="48">
        <f t="shared" si="17"/>
        <v>383.90789420136622</v>
      </c>
    </row>
    <row r="82" spans="2:15" x14ac:dyDescent="0.3">
      <c r="B82" s="9">
        <v>42417</v>
      </c>
      <c r="C82" s="3" t="s">
        <v>5</v>
      </c>
      <c r="D82" s="3" t="s">
        <v>11</v>
      </c>
      <c r="E82" s="3" t="s">
        <v>15</v>
      </c>
      <c r="F82" s="5" t="s">
        <v>13</v>
      </c>
      <c r="G82" s="4">
        <v>234</v>
      </c>
      <c r="H82" s="3">
        <f t="shared" si="11"/>
        <v>0</v>
      </c>
      <c r="I82" s="3">
        <f t="shared" si="12"/>
        <v>0</v>
      </c>
      <c r="J82" s="3">
        <f t="shared" si="13"/>
        <v>1</v>
      </c>
      <c r="K82" s="35">
        <f t="shared" si="14"/>
        <v>0</v>
      </c>
      <c r="L82" s="3">
        <v>79</v>
      </c>
      <c r="M82" s="35">
        <f t="shared" si="15"/>
        <v>188.07210451474651</v>
      </c>
      <c r="N82" s="35">
        <f t="shared" si="16"/>
        <v>1.244203655846539</v>
      </c>
      <c r="O82" s="48">
        <f t="shared" si="17"/>
        <v>213.79454197080165</v>
      </c>
    </row>
    <row r="83" spans="2:15" x14ac:dyDescent="0.3">
      <c r="B83" s="9">
        <v>42418</v>
      </c>
      <c r="C83" s="3" t="s">
        <v>6</v>
      </c>
      <c r="D83" s="3" t="s">
        <v>11</v>
      </c>
      <c r="E83" s="3" t="s">
        <v>12</v>
      </c>
      <c r="F83" s="5" t="s">
        <v>13</v>
      </c>
      <c r="G83" s="4">
        <v>221</v>
      </c>
      <c r="H83" s="3">
        <f t="shared" si="11"/>
        <v>0</v>
      </c>
      <c r="I83" s="3">
        <f t="shared" si="12"/>
        <v>0</v>
      </c>
      <c r="J83" s="3">
        <f t="shared" si="13"/>
        <v>1</v>
      </c>
      <c r="K83" s="35">
        <f t="shared" si="14"/>
        <v>0</v>
      </c>
      <c r="L83" s="3">
        <v>80</v>
      </c>
      <c r="M83" s="35">
        <f t="shared" si="15"/>
        <v>188.37240691309984</v>
      </c>
      <c r="N83" s="35">
        <f t="shared" si="16"/>
        <v>1.1732079215930598</v>
      </c>
      <c r="O83" s="48">
        <f t="shared" si="17"/>
        <v>213.07848451873531</v>
      </c>
    </row>
    <row r="84" spans="2:15" x14ac:dyDescent="0.3">
      <c r="B84" s="9">
        <v>42419</v>
      </c>
      <c r="C84" s="3" t="s">
        <v>7</v>
      </c>
      <c r="D84" s="3" t="s">
        <v>11</v>
      </c>
      <c r="E84" s="3" t="s">
        <v>12</v>
      </c>
      <c r="F84" s="5" t="s">
        <v>13</v>
      </c>
      <c r="G84" s="4">
        <v>193</v>
      </c>
      <c r="H84" s="3">
        <f t="shared" si="11"/>
        <v>0</v>
      </c>
      <c r="I84" s="3">
        <f t="shared" si="12"/>
        <v>0</v>
      </c>
      <c r="J84" s="3">
        <f t="shared" si="13"/>
        <v>1</v>
      </c>
      <c r="K84" s="35">
        <f t="shared" si="14"/>
        <v>0</v>
      </c>
      <c r="L84" s="3">
        <v>81</v>
      </c>
      <c r="M84" s="35">
        <f t="shared" si="15"/>
        <v>188.67270931145319</v>
      </c>
      <c r="N84" s="35">
        <f t="shared" si="16"/>
        <v>1.0229354351476636</v>
      </c>
      <c r="O84" s="48">
        <f t="shared" si="17"/>
        <v>195.79397490970041</v>
      </c>
    </row>
    <row r="85" spans="2:15" x14ac:dyDescent="0.3">
      <c r="B85" s="9">
        <v>42420</v>
      </c>
      <c r="C85" s="3" t="s">
        <v>8</v>
      </c>
      <c r="D85" s="3" t="s">
        <v>14</v>
      </c>
      <c r="E85" s="3" t="s">
        <v>12</v>
      </c>
      <c r="F85" s="5" t="s">
        <v>13</v>
      </c>
      <c r="G85" s="4">
        <v>141</v>
      </c>
      <c r="H85" s="3">
        <f t="shared" si="11"/>
        <v>0</v>
      </c>
      <c r="I85" s="3">
        <f t="shared" si="12"/>
        <v>0</v>
      </c>
      <c r="J85" s="3">
        <f t="shared" si="13"/>
        <v>0</v>
      </c>
      <c r="K85" s="35">
        <f t="shared" si="14"/>
        <v>0</v>
      </c>
      <c r="L85" s="3">
        <v>82</v>
      </c>
      <c r="M85" s="35">
        <f t="shared" si="15"/>
        <v>163.02552405106329</v>
      </c>
      <c r="N85" s="35">
        <f t="shared" si="16"/>
        <v>0.86489524153184505</v>
      </c>
      <c r="O85" s="48">
        <f t="shared" si="17"/>
        <v>141.72675312782951</v>
      </c>
    </row>
    <row r="86" spans="2:15" x14ac:dyDescent="0.3">
      <c r="B86" s="9">
        <v>42421</v>
      </c>
      <c r="C86" s="3" t="s">
        <v>9</v>
      </c>
      <c r="D86" s="3" t="s">
        <v>14</v>
      </c>
      <c r="E86" s="3" t="s">
        <v>15</v>
      </c>
      <c r="F86" s="5" t="s">
        <v>13</v>
      </c>
      <c r="G86" s="4">
        <v>84</v>
      </c>
      <c r="H86" s="3">
        <f t="shared" si="11"/>
        <v>0</v>
      </c>
      <c r="I86" s="3">
        <f t="shared" si="12"/>
        <v>0</v>
      </c>
      <c r="J86" s="3">
        <f t="shared" si="13"/>
        <v>0</v>
      </c>
      <c r="K86" s="35">
        <f t="shared" si="14"/>
        <v>0</v>
      </c>
      <c r="L86" s="3">
        <v>83</v>
      </c>
      <c r="M86" s="35">
        <f t="shared" si="15"/>
        <v>163.32582644941661</v>
      </c>
      <c r="N86" s="35">
        <f t="shared" si="16"/>
        <v>0.51430935220778151</v>
      </c>
      <c r="O86" s="48">
        <f t="shared" si="17"/>
        <v>82.224730391175271</v>
      </c>
    </row>
    <row r="87" spans="2:15" x14ac:dyDescent="0.3">
      <c r="B87" s="9">
        <v>42422</v>
      </c>
      <c r="C87" s="3" t="s">
        <v>10</v>
      </c>
      <c r="D87" s="3" t="s">
        <v>14</v>
      </c>
      <c r="E87" s="3" t="s">
        <v>12</v>
      </c>
      <c r="F87" s="5" t="s">
        <v>13</v>
      </c>
      <c r="G87" s="4">
        <v>161</v>
      </c>
      <c r="H87" s="3">
        <f t="shared" si="11"/>
        <v>0</v>
      </c>
      <c r="I87" s="3">
        <f t="shared" si="12"/>
        <v>0</v>
      </c>
      <c r="J87" s="3">
        <f t="shared" si="13"/>
        <v>0</v>
      </c>
      <c r="K87" s="35">
        <f t="shared" si="14"/>
        <v>0</v>
      </c>
      <c r="L87" s="3">
        <v>84</v>
      </c>
      <c r="M87" s="35">
        <f t="shared" si="15"/>
        <v>163.62612884776993</v>
      </c>
      <c r="N87" s="35">
        <f t="shared" si="16"/>
        <v>0.98395043098395885</v>
      </c>
      <c r="O87" s="48">
        <f t="shared" si="17"/>
        <v>175.74454716957115</v>
      </c>
    </row>
    <row r="88" spans="2:15" x14ac:dyDescent="0.3">
      <c r="B88" s="9">
        <v>42423</v>
      </c>
      <c r="C88" s="3" t="s">
        <v>4</v>
      </c>
      <c r="D88" s="3" t="s">
        <v>11</v>
      </c>
      <c r="E88" s="3" t="s">
        <v>15</v>
      </c>
      <c r="F88" s="5" t="s">
        <v>13</v>
      </c>
      <c r="G88" s="4">
        <v>250</v>
      </c>
      <c r="H88" s="3">
        <f t="shared" si="11"/>
        <v>0</v>
      </c>
      <c r="I88" s="3">
        <f t="shared" si="12"/>
        <v>0</v>
      </c>
      <c r="J88" s="3">
        <f t="shared" si="13"/>
        <v>1</v>
      </c>
      <c r="K88" s="35">
        <f t="shared" si="14"/>
        <v>0</v>
      </c>
      <c r="L88" s="3">
        <v>85</v>
      </c>
      <c r="M88" s="35">
        <f t="shared" si="15"/>
        <v>189.87391890486649</v>
      </c>
      <c r="N88" s="35">
        <f t="shared" si="16"/>
        <v>1.3166631912477607</v>
      </c>
      <c r="O88" s="48">
        <f t="shared" si="17"/>
        <v>240.89294115958543</v>
      </c>
    </row>
    <row r="89" spans="2:15" x14ac:dyDescent="0.3">
      <c r="B89" s="9">
        <v>42424</v>
      </c>
      <c r="C89" s="3" t="s">
        <v>5</v>
      </c>
      <c r="D89" s="3" t="s">
        <v>11</v>
      </c>
      <c r="E89" s="3" t="s">
        <v>29</v>
      </c>
      <c r="F89" s="5" t="s">
        <v>13</v>
      </c>
      <c r="G89" s="4">
        <v>392</v>
      </c>
      <c r="H89" s="3">
        <f t="shared" si="11"/>
        <v>1</v>
      </c>
      <c r="I89" s="3">
        <f t="shared" si="12"/>
        <v>0</v>
      </c>
      <c r="J89" s="3">
        <f t="shared" si="13"/>
        <v>1</v>
      </c>
      <c r="K89" s="35">
        <f t="shared" si="14"/>
        <v>0</v>
      </c>
      <c r="L89" s="3">
        <v>86</v>
      </c>
      <c r="M89" s="35">
        <f t="shared" si="15"/>
        <v>305.00197241424058</v>
      </c>
      <c r="N89" s="35">
        <f t="shared" si="16"/>
        <v>1.285237590095327</v>
      </c>
      <c r="O89" s="48">
        <f t="shared" si="17"/>
        <v>346.71679333168083</v>
      </c>
    </row>
    <row r="90" spans="2:15" x14ac:dyDescent="0.3">
      <c r="B90" s="9">
        <v>42425</v>
      </c>
      <c r="C90" s="3" t="s">
        <v>6</v>
      </c>
      <c r="D90" s="3" t="s">
        <v>14</v>
      </c>
      <c r="E90" s="3" t="s">
        <v>15</v>
      </c>
      <c r="F90" s="5" t="s">
        <v>13</v>
      </c>
      <c r="G90" s="4">
        <v>215</v>
      </c>
      <c r="H90" s="3">
        <f t="shared" si="11"/>
        <v>0</v>
      </c>
      <c r="I90" s="3">
        <f t="shared" si="12"/>
        <v>0</v>
      </c>
      <c r="J90" s="3">
        <f t="shared" si="13"/>
        <v>0</v>
      </c>
      <c r="K90" s="35">
        <f t="shared" si="14"/>
        <v>0</v>
      </c>
      <c r="L90" s="3">
        <v>87</v>
      </c>
      <c r="M90" s="35">
        <f t="shared" si="15"/>
        <v>164.52703604282991</v>
      </c>
      <c r="N90" s="35">
        <f t="shared" si="16"/>
        <v>1.3067761090890309</v>
      </c>
      <c r="O90" s="48">
        <f t="shared" si="17"/>
        <v>186.10566205982678</v>
      </c>
    </row>
    <row r="91" spans="2:15" x14ac:dyDescent="0.3">
      <c r="B91" s="9">
        <v>42426</v>
      </c>
      <c r="C91" s="3" t="s">
        <v>7</v>
      </c>
      <c r="D91" s="3" t="s">
        <v>11</v>
      </c>
      <c r="E91" s="3" t="s">
        <v>12</v>
      </c>
      <c r="F91" s="5" t="s">
        <v>13</v>
      </c>
      <c r="G91" s="4">
        <v>190</v>
      </c>
      <c r="H91" s="3">
        <f t="shared" si="11"/>
        <v>0</v>
      </c>
      <c r="I91" s="3">
        <f t="shared" si="12"/>
        <v>0</v>
      </c>
      <c r="J91" s="3">
        <f t="shared" si="13"/>
        <v>1</v>
      </c>
      <c r="K91" s="35">
        <f t="shared" si="14"/>
        <v>0</v>
      </c>
      <c r="L91" s="3">
        <v>88</v>
      </c>
      <c r="M91" s="35">
        <f t="shared" si="15"/>
        <v>190.77482609992649</v>
      </c>
      <c r="N91" s="35">
        <f t="shared" si="16"/>
        <v>0.99593853069733296</v>
      </c>
      <c r="O91" s="48">
        <f t="shared" si="17"/>
        <v>197.97543402608048</v>
      </c>
    </row>
    <row r="92" spans="2:15" x14ac:dyDescent="0.3">
      <c r="B92" s="9">
        <v>42427</v>
      </c>
      <c r="C92" s="3" t="s">
        <v>8</v>
      </c>
      <c r="D92" s="3" t="s">
        <v>11</v>
      </c>
      <c r="E92" s="3" t="s">
        <v>15</v>
      </c>
      <c r="F92" s="5" t="s">
        <v>13</v>
      </c>
      <c r="G92" s="4">
        <v>176</v>
      </c>
      <c r="H92" s="3">
        <f t="shared" si="11"/>
        <v>0</v>
      </c>
      <c r="I92" s="3">
        <f t="shared" si="12"/>
        <v>0</v>
      </c>
      <c r="J92" s="3">
        <f t="shared" si="13"/>
        <v>1</v>
      </c>
      <c r="K92" s="35">
        <f t="shared" si="14"/>
        <v>0</v>
      </c>
      <c r="L92" s="3">
        <v>89</v>
      </c>
      <c r="M92" s="35">
        <f t="shared" si="15"/>
        <v>191.07512849827981</v>
      </c>
      <c r="N92" s="35">
        <f t="shared" si="16"/>
        <v>0.92110365898084157</v>
      </c>
      <c r="O92" s="48">
        <f t="shared" si="17"/>
        <v>166.11176515563164</v>
      </c>
    </row>
    <row r="93" spans="2:15" x14ac:dyDescent="0.3">
      <c r="B93" s="9">
        <v>42428</v>
      </c>
      <c r="C93" s="3" t="s">
        <v>9</v>
      </c>
      <c r="D93" s="3" t="s">
        <v>11</v>
      </c>
      <c r="E93" s="3" t="s">
        <v>15</v>
      </c>
      <c r="F93" s="5" t="s">
        <v>13</v>
      </c>
      <c r="G93" s="4">
        <v>87</v>
      </c>
      <c r="H93" s="3">
        <f t="shared" si="11"/>
        <v>0</v>
      </c>
      <c r="I93" s="3">
        <f t="shared" si="12"/>
        <v>0</v>
      </c>
      <c r="J93" s="3">
        <f t="shared" si="13"/>
        <v>1</v>
      </c>
      <c r="K93" s="35">
        <f t="shared" si="14"/>
        <v>0</v>
      </c>
      <c r="L93" s="3">
        <v>90</v>
      </c>
      <c r="M93" s="35">
        <f t="shared" si="15"/>
        <v>191.37543089663313</v>
      </c>
      <c r="N93" s="35">
        <f t="shared" si="16"/>
        <v>0.45460380986413546</v>
      </c>
      <c r="O93" s="48">
        <f t="shared" si="17"/>
        <v>96.34601918787267</v>
      </c>
    </row>
    <row r="94" spans="2:15" x14ac:dyDescent="0.3">
      <c r="B94" s="9">
        <v>42429</v>
      </c>
      <c r="C94" s="3" t="s">
        <v>10</v>
      </c>
      <c r="D94" s="3" t="s">
        <v>14</v>
      </c>
      <c r="E94" s="3" t="s">
        <v>15</v>
      </c>
      <c r="F94" s="5" t="s">
        <v>13</v>
      </c>
      <c r="G94" s="4">
        <v>181</v>
      </c>
      <c r="H94" s="3">
        <f t="shared" si="11"/>
        <v>0</v>
      </c>
      <c r="I94" s="3">
        <f t="shared" si="12"/>
        <v>0</v>
      </c>
      <c r="J94" s="3">
        <f t="shared" si="13"/>
        <v>0</v>
      </c>
      <c r="K94" s="35">
        <f t="shared" si="14"/>
        <v>0</v>
      </c>
      <c r="L94" s="3">
        <v>91</v>
      </c>
      <c r="M94" s="35">
        <f t="shared" si="15"/>
        <v>165.72824563624323</v>
      </c>
      <c r="N94" s="35">
        <f t="shared" si="16"/>
        <v>1.0921493756548701</v>
      </c>
      <c r="O94" s="48">
        <f t="shared" si="17"/>
        <v>178.00235016038505</v>
      </c>
    </row>
    <row r="95" spans="2:15" x14ac:dyDescent="0.3">
      <c r="B95" s="9">
        <v>42430</v>
      </c>
      <c r="C95" s="3" t="s">
        <v>4</v>
      </c>
      <c r="D95" s="3" t="s">
        <v>11</v>
      </c>
      <c r="E95" s="3" t="s">
        <v>12</v>
      </c>
      <c r="F95" s="5" t="s">
        <v>13</v>
      </c>
      <c r="G95" s="4">
        <v>223</v>
      </c>
      <c r="H95" s="3">
        <f t="shared" si="11"/>
        <v>0</v>
      </c>
      <c r="I95" s="3">
        <f t="shared" si="12"/>
        <v>0</v>
      </c>
      <c r="J95" s="3">
        <f t="shared" si="13"/>
        <v>1</v>
      </c>
      <c r="K95" s="35">
        <f t="shared" si="14"/>
        <v>0</v>
      </c>
      <c r="L95" s="3">
        <v>92</v>
      </c>
      <c r="M95" s="35">
        <f t="shared" si="15"/>
        <v>191.97603569333978</v>
      </c>
      <c r="N95" s="35">
        <f t="shared" si="16"/>
        <v>1.1616033178027363</v>
      </c>
      <c r="O95" s="48">
        <f t="shared" si="17"/>
        <v>243.5598956247218</v>
      </c>
    </row>
    <row r="96" spans="2:15" x14ac:dyDescent="0.3">
      <c r="B96" s="9">
        <v>42431</v>
      </c>
      <c r="C96" s="3" t="s">
        <v>5</v>
      </c>
      <c r="D96" s="3" t="s">
        <v>14</v>
      </c>
      <c r="E96" s="3" t="s">
        <v>15</v>
      </c>
      <c r="F96" s="5" t="s">
        <v>13</v>
      </c>
      <c r="G96" s="4">
        <v>150</v>
      </c>
      <c r="H96" s="3">
        <f t="shared" si="11"/>
        <v>0</v>
      </c>
      <c r="I96" s="3">
        <f t="shared" si="12"/>
        <v>0</v>
      </c>
      <c r="J96" s="3">
        <f t="shared" si="13"/>
        <v>0</v>
      </c>
      <c r="K96" s="35">
        <f t="shared" si="14"/>
        <v>0</v>
      </c>
      <c r="L96" s="3">
        <v>93</v>
      </c>
      <c r="M96" s="35">
        <f t="shared" si="15"/>
        <v>166.32885043294988</v>
      </c>
      <c r="N96" s="35">
        <f t="shared" si="16"/>
        <v>0.90182791265347961</v>
      </c>
      <c r="O96" s="48">
        <f t="shared" si="17"/>
        <v>189.0774843328999</v>
      </c>
    </row>
    <row r="97" spans="2:15" x14ac:dyDescent="0.3">
      <c r="B97" s="9">
        <v>42432</v>
      </c>
      <c r="C97" s="3" t="s">
        <v>6</v>
      </c>
      <c r="D97" s="3" t="s">
        <v>11</v>
      </c>
      <c r="E97" s="3" t="s">
        <v>15</v>
      </c>
      <c r="F97" s="5" t="s">
        <v>13</v>
      </c>
      <c r="G97" s="4">
        <v>191</v>
      </c>
      <c r="H97" s="3">
        <f t="shared" si="11"/>
        <v>0</v>
      </c>
      <c r="I97" s="3">
        <f t="shared" si="12"/>
        <v>0</v>
      </c>
      <c r="J97" s="3">
        <f t="shared" si="13"/>
        <v>1</v>
      </c>
      <c r="K97" s="35">
        <f t="shared" si="14"/>
        <v>0</v>
      </c>
      <c r="L97" s="3">
        <v>94</v>
      </c>
      <c r="M97" s="35">
        <f t="shared" si="15"/>
        <v>192.57664049004643</v>
      </c>
      <c r="N97" s="35">
        <f t="shared" si="16"/>
        <v>0.9918129193341706</v>
      </c>
      <c r="O97" s="48">
        <f t="shared" si="17"/>
        <v>217.83412646130404</v>
      </c>
    </row>
    <row r="98" spans="2:15" x14ac:dyDescent="0.3">
      <c r="B98" s="9">
        <v>42433</v>
      </c>
      <c r="C98" s="3" t="s">
        <v>7</v>
      </c>
      <c r="D98" s="3" t="s">
        <v>11</v>
      </c>
      <c r="E98" s="3" t="s">
        <v>16</v>
      </c>
      <c r="F98" s="5" t="s">
        <v>13</v>
      </c>
      <c r="G98" s="4">
        <v>127</v>
      </c>
      <c r="H98" s="3">
        <f t="shared" si="11"/>
        <v>0</v>
      </c>
      <c r="I98" s="3">
        <f t="shared" si="12"/>
        <v>1</v>
      </c>
      <c r="J98" s="3">
        <f t="shared" si="13"/>
        <v>1</v>
      </c>
      <c r="K98" s="35">
        <f t="shared" si="14"/>
        <v>0</v>
      </c>
      <c r="L98" s="3">
        <v>95</v>
      </c>
      <c r="M98" s="35">
        <f t="shared" si="15"/>
        <v>266.8400164585633</v>
      </c>
      <c r="N98" s="35">
        <f t="shared" si="16"/>
        <v>0.47594060922913117</v>
      </c>
      <c r="O98" s="48">
        <f t="shared" si="17"/>
        <v>276.91163008184174</v>
      </c>
    </row>
    <row r="99" spans="2:15" x14ac:dyDescent="0.3">
      <c r="B99" s="9">
        <v>42434</v>
      </c>
      <c r="C99" s="3" t="s">
        <v>8</v>
      </c>
      <c r="D99" s="3" t="s">
        <v>11</v>
      </c>
      <c r="E99" s="3" t="s">
        <v>12</v>
      </c>
      <c r="F99" s="5" t="s">
        <v>13</v>
      </c>
      <c r="G99" s="4">
        <v>144</v>
      </c>
      <c r="H99" s="3">
        <f t="shared" si="11"/>
        <v>0</v>
      </c>
      <c r="I99" s="3">
        <f t="shared" si="12"/>
        <v>0</v>
      </c>
      <c r="J99" s="3">
        <f t="shared" si="13"/>
        <v>1</v>
      </c>
      <c r="K99" s="35">
        <f t="shared" si="14"/>
        <v>0</v>
      </c>
      <c r="L99" s="3">
        <v>96</v>
      </c>
      <c r="M99" s="35">
        <f t="shared" si="15"/>
        <v>193.17724528675308</v>
      </c>
      <c r="N99" s="35">
        <f t="shared" si="16"/>
        <v>0.74542941010596675</v>
      </c>
      <c r="O99" s="48">
        <f t="shared" si="17"/>
        <v>167.93924701075818</v>
      </c>
    </row>
    <row r="100" spans="2:15" x14ac:dyDescent="0.3">
      <c r="B100" s="9">
        <v>42435</v>
      </c>
      <c r="C100" s="3" t="s">
        <v>9</v>
      </c>
      <c r="D100" s="3" t="s">
        <v>11</v>
      </c>
      <c r="E100" s="3" t="s">
        <v>12</v>
      </c>
      <c r="F100" s="5" t="s">
        <v>13</v>
      </c>
      <c r="G100" s="4">
        <v>156</v>
      </c>
      <c r="H100" s="3">
        <f t="shared" ref="H100:H138" si="18">IF(E100=$H$3,1,0)</f>
        <v>0</v>
      </c>
      <c r="I100" s="3">
        <f t="shared" ref="I100:I138" si="19">IF(E100=$I$3,1,0)</f>
        <v>0</v>
      </c>
      <c r="J100" s="3">
        <f t="shared" ref="J100:J138" si="20">IF(D100=J$3,1,0)</f>
        <v>1</v>
      </c>
      <c r="K100" s="35">
        <f t="shared" ref="K100:K138" si="21">IF(F100="Yes",1,0)</f>
        <v>0</v>
      </c>
      <c r="L100" s="3">
        <v>97</v>
      </c>
      <c r="M100" s="35">
        <f t="shared" si="15"/>
        <v>193.47754768510643</v>
      </c>
      <c r="N100" s="35">
        <f t="shared" si="16"/>
        <v>0.80629510693352979</v>
      </c>
      <c r="O100" s="48">
        <f t="shared" si="17"/>
        <v>97.404308559128424</v>
      </c>
    </row>
    <row r="101" spans="2:15" x14ac:dyDescent="0.3">
      <c r="B101" s="9">
        <v>42436</v>
      </c>
      <c r="C101" s="3" t="s">
        <v>10</v>
      </c>
      <c r="D101" s="3" t="s">
        <v>14</v>
      </c>
      <c r="E101" s="3" t="s">
        <v>15</v>
      </c>
      <c r="F101" s="5" t="s">
        <v>13</v>
      </c>
      <c r="G101" s="4">
        <v>174</v>
      </c>
      <c r="H101" s="3">
        <f t="shared" si="18"/>
        <v>0</v>
      </c>
      <c r="I101" s="3">
        <f t="shared" si="19"/>
        <v>0</v>
      </c>
      <c r="J101" s="3">
        <f t="shared" si="20"/>
        <v>0</v>
      </c>
      <c r="K101" s="35">
        <f t="shared" si="21"/>
        <v>0</v>
      </c>
      <c r="L101" s="3">
        <v>98</v>
      </c>
      <c r="M101" s="35">
        <f t="shared" si="15"/>
        <v>167.83036242471653</v>
      </c>
      <c r="N101" s="35">
        <f t="shared" si="16"/>
        <v>1.0367611526671818</v>
      </c>
      <c r="O101" s="48">
        <f t="shared" si="17"/>
        <v>180.26015315119892</v>
      </c>
    </row>
    <row r="102" spans="2:15" x14ac:dyDescent="0.3">
      <c r="B102" s="9">
        <v>42437</v>
      </c>
      <c r="C102" s="3" t="s">
        <v>4</v>
      </c>
      <c r="D102" s="3" t="s">
        <v>26</v>
      </c>
      <c r="E102" s="3" t="s">
        <v>15</v>
      </c>
      <c r="F102" s="5" t="s">
        <v>13</v>
      </c>
      <c r="G102" s="4">
        <v>184</v>
      </c>
      <c r="H102" s="3">
        <f t="shared" si="18"/>
        <v>0</v>
      </c>
      <c r="I102" s="3">
        <f t="shared" si="19"/>
        <v>0</v>
      </c>
      <c r="J102" s="3">
        <f t="shared" si="20"/>
        <v>0</v>
      </c>
      <c r="K102" s="35">
        <f t="shared" si="21"/>
        <v>0</v>
      </c>
      <c r="L102" s="3">
        <v>99</v>
      </c>
      <c r="M102" s="35">
        <f t="shared" si="15"/>
        <v>168.13066482306985</v>
      </c>
      <c r="N102" s="35">
        <f t="shared" si="16"/>
        <v>1.0943869174230056</v>
      </c>
      <c r="O102" s="48">
        <f t="shared" si="17"/>
        <v>213.30728612937315</v>
      </c>
    </row>
    <row r="103" spans="2:15" x14ac:dyDescent="0.3">
      <c r="B103" s="9">
        <v>42438</v>
      </c>
      <c r="C103" s="3" t="s">
        <v>5</v>
      </c>
      <c r="D103" s="3" t="s">
        <v>26</v>
      </c>
      <c r="E103" s="3" t="s">
        <v>12</v>
      </c>
      <c r="F103" s="5" t="s">
        <v>13</v>
      </c>
      <c r="G103" s="4">
        <v>145</v>
      </c>
      <c r="H103" s="3">
        <f t="shared" si="18"/>
        <v>0</v>
      </c>
      <c r="I103" s="3">
        <f t="shared" si="19"/>
        <v>0</v>
      </c>
      <c r="J103" s="3">
        <f t="shared" si="20"/>
        <v>0</v>
      </c>
      <c r="K103" s="35">
        <f t="shared" si="21"/>
        <v>0</v>
      </c>
      <c r="L103" s="3">
        <v>100</v>
      </c>
      <c r="M103" s="35">
        <f t="shared" si="15"/>
        <v>168.43096722142317</v>
      </c>
      <c r="N103" s="35">
        <f t="shared" si="16"/>
        <v>0.86088682142031347</v>
      </c>
      <c r="O103" s="48">
        <f t="shared" si="17"/>
        <v>191.46710557481853</v>
      </c>
    </row>
    <row r="104" spans="2:15" x14ac:dyDescent="0.3">
      <c r="B104" s="9">
        <v>42439</v>
      </c>
      <c r="C104" s="3" t="s">
        <v>6</v>
      </c>
      <c r="D104" s="3" t="s">
        <v>31</v>
      </c>
      <c r="E104" s="3" t="s">
        <v>15</v>
      </c>
      <c r="F104" s="5" t="s">
        <v>13</v>
      </c>
      <c r="G104" s="4">
        <v>173</v>
      </c>
      <c r="H104" s="3">
        <f t="shared" si="18"/>
        <v>0</v>
      </c>
      <c r="I104" s="3">
        <f t="shared" si="19"/>
        <v>0</v>
      </c>
      <c r="J104" s="3">
        <f t="shared" si="20"/>
        <v>0</v>
      </c>
      <c r="K104" s="35">
        <f t="shared" si="21"/>
        <v>0</v>
      </c>
      <c r="L104" s="3">
        <v>101</v>
      </c>
      <c r="M104" s="35">
        <f t="shared" si="15"/>
        <v>168.7312696197765</v>
      </c>
      <c r="N104" s="35">
        <f t="shared" si="16"/>
        <v>1.0252989880882351</v>
      </c>
      <c r="O104" s="48">
        <f t="shared" si="17"/>
        <v>190.86130400239551</v>
      </c>
    </row>
    <row r="105" spans="2:15" x14ac:dyDescent="0.3">
      <c r="B105" s="9">
        <v>42440</v>
      </c>
      <c r="C105" s="3" t="s">
        <v>7</v>
      </c>
      <c r="D105" s="3" t="s">
        <v>14</v>
      </c>
      <c r="E105" s="3" t="s">
        <v>15</v>
      </c>
      <c r="F105" s="5" t="s">
        <v>13</v>
      </c>
      <c r="G105" s="4">
        <v>193</v>
      </c>
      <c r="H105" s="3">
        <f t="shared" si="18"/>
        <v>0</v>
      </c>
      <c r="I105" s="3">
        <f t="shared" si="19"/>
        <v>0</v>
      </c>
      <c r="J105" s="3">
        <f t="shared" si="20"/>
        <v>0</v>
      </c>
      <c r="K105" s="35">
        <f t="shared" si="21"/>
        <v>0</v>
      </c>
      <c r="L105" s="3">
        <v>102</v>
      </c>
      <c r="M105" s="35">
        <f t="shared" si="15"/>
        <v>169.03157201812982</v>
      </c>
      <c r="N105" s="35">
        <f t="shared" si="16"/>
        <v>1.1417985273147635</v>
      </c>
      <c r="O105" s="48">
        <f t="shared" si="17"/>
        <v>175.41150223285581</v>
      </c>
    </row>
    <row r="106" spans="2:15" x14ac:dyDescent="0.3">
      <c r="B106" s="9">
        <v>42441</v>
      </c>
      <c r="C106" s="3" t="s">
        <v>8</v>
      </c>
      <c r="D106" s="3" t="s">
        <v>26</v>
      </c>
      <c r="E106" s="3" t="s">
        <v>15</v>
      </c>
      <c r="F106" s="5" t="s">
        <v>13</v>
      </c>
      <c r="G106" s="4">
        <v>143</v>
      </c>
      <c r="H106" s="3">
        <f t="shared" si="18"/>
        <v>0</v>
      </c>
      <c r="I106" s="3">
        <f t="shared" si="19"/>
        <v>0</v>
      </c>
      <c r="J106" s="3">
        <f t="shared" si="20"/>
        <v>0</v>
      </c>
      <c r="K106" s="35">
        <f t="shared" si="21"/>
        <v>0</v>
      </c>
      <c r="L106" s="3">
        <v>103</v>
      </c>
      <c r="M106" s="35">
        <f t="shared" si="15"/>
        <v>169.33187441648317</v>
      </c>
      <c r="N106" s="35">
        <f t="shared" si="16"/>
        <v>0.84449546485431237</v>
      </c>
      <c r="O106" s="48">
        <f t="shared" si="17"/>
        <v>147.20919869320926</v>
      </c>
    </row>
    <row r="107" spans="2:15" x14ac:dyDescent="0.3">
      <c r="B107" s="9">
        <v>42442</v>
      </c>
      <c r="C107" s="3" t="s">
        <v>9</v>
      </c>
      <c r="D107" s="3" t="s">
        <v>26</v>
      </c>
      <c r="E107" s="3" t="s">
        <v>12</v>
      </c>
      <c r="F107" s="5" t="s">
        <v>13</v>
      </c>
      <c r="G107" s="4">
        <v>82</v>
      </c>
      <c r="H107" s="3">
        <f t="shared" si="18"/>
        <v>0</v>
      </c>
      <c r="I107" s="3">
        <f t="shared" si="19"/>
        <v>0</v>
      </c>
      <c r="J107" s="3">
        <f t="shared" si="20"/>
        <v>0</v>
      </c>
      <c r="K107" s="35">
        <f t="shared" si="21"/>
        <v>0</v>
      </c>
      <c r="L107" s="3">
        <v>104</v>
      </c>
      <c r="M107" s="35">
        <f t="shared" si="15"/>
        <v>169.6321768148365</v>
      </c>
      <c r="N107" s="35">
        <f t="shared" si="16"/>
        <v>0.48339885474386046</v>
      </c>
      <c r="O107" s="48">
        <f t="shared" si="17"/>
        <v>85.399598504942546</v>
      </c>
    </row>
    <row r="108" spans="2:15" x14ac:dyDescent="0.3">
      <c r="B108" s="9">
        <v>42443</v>
      </c>
      <c r="C108" s="3" t="s">
        <v>10</v>
      </c>
      <c r="D108" s="3" t="s">
        <v>11</v>
      </c>
      <c r="E108" s="3" t="s">
        <v>16</v>
      </c>
      <c r="F108" s="5" t="s">
        <v>13</v>
      </c>
      <c r="G108" s="4">
        <v>311</v>
      </c>
      <c r="H108" s="3">
        <f t="shared" si="18"/>
        <v>0</v>
      </c>
      <c r="I108" s="3">
        <f t="shared" si="19"/>
        <v>1</v>
      </c>
      <c r="J108" s="3">
        <f t="shared" si="20"/>
        <v>1</v>
      </c>
      <c r="K108" s="35">
        <f t="shared" si="21"/>
        <v>0</v>
      </c>
      <c r="L108" s="3">
        <v>105</v>
      </c>
      <c r="M108" s="35">
        <f t="shared" si="15"/>
        <v>269.84304044209654</v>
      </c>
      <c r="N108" s="35">
        <f t="shared" si="16"/>
        <v>1.1525218493331311</v>
      </c>
      <c r="O108" s="48">
        <f t="shared" si="17"/>
        <v>289.82805670038846</v>
      </c>
    </row>
    <row r="109" spans="2:15" x14ac:dyDescent="0.3">
      <c r="B109" s="9">
        <v>42444</v>
      </c>
      <c r="C109" s="3" t="s">
        <v>4</v>
      </c>
      <c r="D109" s="3" t="s">
        <v>14</v>
      </c>
      <c r="E109" s="3" t="s">
        <v>16</v>
      </c>
      <c r="F109" s="5" t="s">
        <v>13</v>
      </c>
      <c r="G109" s="4">
        <v>342</v>
      </c>
      <c r="H109" s="3">
        <f t="shared" si="18"/>
        <v>0</v>
      </c>
      <c r="I109" s="3">
        <f t="shared" si="19"/>
        <v>1</v>
      </c>
      <c r="J109" s="3">
        <f t="shared" si="20"/>
        <v>0</v>
      </c>
      <c r="K109" s="35">
        <f t="shared" si="21"/>
        <v>0</v>
      </c>
      <c r="L109" s="3">
        <v>106</v>
      </c>
      <c r="M109" s="35">
        <f t="shared" si="15"/>
        <v>244.19585518170666</v>
      </c>
      <c r="N109" s="35">
        <f t="shared" si="16"/>
        <v>1.4005151715024691</v>
      </c>
      <c r="O109" s="48">
        <f t="shared" si="17"/>
        <v>309.81115317462286</v>
      </c>
    </row>
    <row r="110" spans="2:15" x14ac:dyDescent="0.3">
      <c r="B110" s="9">
        <v>42445</v>
      </c>
      <c r="C110" s="3" t="s">
        <v>5</v>
      </c>
      <c r="D110" s="3" t="s">
        <v>14</v>
      </c>
      <c r="E110" s="3" t="s">
        <v>15</v>
      </c>
      <c r="F110" s="5" t="s">
        <v>13</v>
      </c>
      <c r="G110" s="4">
        <v>211</v>
      </c>
      <c r="H110" s="3">
        <f t="shared" si="18"/>
        <v>0</v>
      </c>
      <c r="I110" s="3">
        <f t="shared" si="19"/>
        <v>0</v>
      </c>
      <c r="J110" s="3">
        <f t="shared" si="20"/>
        <v>0</v>
      </c>
      <c r="K110" s="35">
        <f t="shared" si="21"/>
        <v>0</v>
      </c>
      <c r="L110" s="3">
        <v>107</v>
      </c>
      <c r="M110" s="35">
        <f t="shared" si="15"/>
        <v>170.53308400989647</v>
      </c>
      <c r="N110" s="35">
        <f t="shared" si="16"/>
        <v>1.2372965704869041</v>
      </c>
      <c r="O110" s="48">
        <f t="shared" si="17"/>
        <v>193.85672681673717</v>
      </c>
    </row>
    <row r="111" spans="2:15" x14ac:dyDescent="0.3">
      <c r="B111" s="9">
        <v>42446</v>
      </c>
      <c r="C111" s="3" t="s">
        <v>6</v>
      </c>
      <c r="D111" s="3" t="s">
        <v>14</v>
      </c>
      <c r="E111" s="3" t="s">
        <v>29</v>
      </c>
      <c r="F111" s="5" t="s">
        <v>30</v>
      </c>
      <c r="G111" s="4">
        <v>176</v>
      </c>
      <c r="H111" s="3">
        <f t="shared" si="18"/>
        <v>1</v>
      </c>
      <c r="I111" s="3">
        <f t="shared" si="19"/>
        <v>0</v>
      </c>
      <c r="J111" s="3">
        <f t="shared" si="20"/>
        <v>0</v>
      </c>
      <c r="K111" s="35">
        <f t="shared" si="21"/>
        <v>1</v>
      </c>
      <c r="L111" s="3">
        <v>108</v>
      </c>
      <c r="M111" s="35">
        <f t="shared" si="15"/>
        <v>186.12348575257136</v>
      </c>
      <c r="N111" s="35">
        <f t="shared" si="16"/>
        <v>0.94560876768647395</v>
      </c>
      <c r="O111" s="48">
        <f t="shared" si="17"/>
        <v>210.53460497427216</v>
      </c>
    </row>
    <row r="112" spans="2:15" x14ac:dyDescent="0.3">
      <c r="B112" s="9">
        <v>42447</v>
      </c>
      <c r="C112" s="3" t="s">
        <v>7</v>
      </c>
      <c r="D112" s="3" t="s">
        <v>14</v>
      </c>
      <c r="E112" s="3" t="s">
        <v>15</v>
      </c>
      <c r="F112" s="5" t="s">
        <v>13</v>
      </c>
      <c r="G112" s="4">
        <v>197</v>
      </c>
      <c r="H112" s="3">
        <f t="shared" si="18"/>
        <v>0</v>
      </c>
      <c r="I112" s="3">
        <f t="shared" si="19"/>
        <v>0</v>
      </c>
      <c r="J112" s="3">
        <f t="shared" si="20"/>
        <v>0</v>
      </c>
      <c r="K112" s="35">
        <f t="shared" si="21"/>
        <v>0</v>
      </c>
      <c r="L112" s="3">
        <v>109</v>
      </c>
      <c r="M112" s="35">
        <f t="shared" si="15"/>
        <v>171.13368880660312</v>
      </c>
      <c r="N112" s="35">
        <f t="shared" si="16"/>
        <v>1.1511468102731555</v>
      </c>
      <c r="O112" s="48">
        <f t="shared" si="17"/>
        <v>177.59296134923591</v>
      </c>
    </row>
    <row r="113" spans="2:15" x14ac:dyDescent="0.3">
      <c r="B113" s="9">
        <v>42448</v>
      </c>
      <c r="C113" s="3" t="s">
        <v>8</v>
      </c>
      <c r="D113" s="3" t="s">
        <v>11</v>
      </c>
      <c r="E113" s="3" t="s">
        <v>12</v>
      </c>
      <c r="F113" s="5" t="s">
        <v>13</v>
      </c>
      <c r="G113" s="4">
        <v>167</v>
      </c>
      <c r="H113" s="3">
        <f t="shared" si="18"/>
        <v>0</v>
      </c>
      <c r="I113" s="3">
        <f t="shared" si="19"/>
        <v>0</v>
      </c>
      <c r="J113" s="3">
        <f t="shared" si="20"/>
        <v>1</v>
      </c>
      <c r="K113" s="35">
        <f t="shared" si="21"/>
        <v>0</v>
      </c>
      <c r="L113" s="3">
        <v>110</v>
      </c>
      <c r="M113" s="35">
        <f t="shared" si="15"/>
        <v>197.38147886369967</v>
      </c>
      <c r="N113" s="35">
        <f t="shared" si="16"/>
        <v>0.84607735721405053</v>
      </c>
      <c r="O113" s="48">
        <f t="shared" si="17"/>
        <v>171.59421072101136</v>
      </c>
    </row>
    <row r="114" spans="2:15" x14ac:dyDescent="0.3">
      <c r="B114" s="9">
        <v>42449</v>
      </c>
      <c r="C114" s="3" t="s">
        <v>9</v>
      </c>
      <c r="D114" s="3" t="s">
        <v>11</v>
      </c>
      <c r="E114" s="3" t="s">
        <v>12</v>
      </c>
      <c r="F114" s="5" t="s">
        <v>13</v>
      </c>
      <c r="G114" s="4">
        <v>92</v>
      </c>
      <c r="H114" s="3">
        <f t="shared" si="18"/>
        <v>0</v>
      </c>
      <c r="I114" s="3">
        <f t="shared" si="19"/>
        <v>0</v>
      </c>
      <c r="J114" s="3">
        <f t="shared" si="20"/>
        <v>1</v>
      </c>
      <c r="K114" s="35">
        <f t="shared" si="21"/>
        <v>0</v>
      </c>
      <c r="L114" s="3">
        <v>111</v>
      </c>
      <c r="M114" s="35">
        <f t="shared" si="15"/>
        <v>197.68178126205299</v>
      </c>
      <c r="N114" s="35">
        <f t="shared" si="16"/>
        <v>0.46539443044598022</v>
      </c>
      <c r="O114" s="48">
        <f t="shared" si="17"/>
        <v>99.520887301639931</v>
      </c>
    </row>
    <row r="115" spans="2:15" x14ac:dyDescent="0.3">
      <c r="B115" s="9">
        <v>42450</v>
      </c>
      <c r="C115" s="3" t="s">
        <v>10</v>
      </c>
      <c r="D115" s="3" t="s">
        <v>11</v>
      </c>
      <c r="E115" s="3" t="s">
        <v>16</v>
      </c>
      <c r="F115" s="5" t="s">
        <v>13</v>
      </c>
      <c r="G115" s="4">
        <v>317</v>
      </c>
      <c r="H115" s="3">
        <f t="shared" si="18"/>
        <v>0</v>
      </c>
      <c r="I115" s="3">
        <f t="shared" si="19"/>
        <v>1</v>
      </c>
      <c r="J115" s="3">
        <f t="shared" si="20"/>
        <v>1</v>
      </c>
      <c r="K115" s="35">
        <f t="shared" si="21"/>
        <v>0</v>
      </c>
      <c r="L115" s="3">
        <v>112</v>
      </c>
      <c r="M115" s="35">
        <f t="shared" si="15"/>
        <v>271.94515723056986</v>
      </c>
      <c r="N115" s="35">
        <f t="shared" si="16"/>
        <v>1.1656762092337249</v>
      </c>
      <c r="O115" s="48">
        <f t="shared" si="17"/>
        <v>292.08585969120236</v>
      </c>
    </row>
    <row r="116" spans="2:15" x14ac:dyDescent="0.3">
      <c r="B116" s="9">
        <v>42451</v>
      </c>
      <c r="C116" s="3" t="s">
        <v>4</v>
      </c>
      <c r="D116" s="3" t="s">
        <v>11</v>
      </c>
      <c r="E116" s="3" t="s">
        <v>12</v>
      </c>
      <c r="F116" s="5" t="s">
        <v>13</v>
      </c>
      <c r="G116" s="4">
        <v>239</v>
      </c>
      <c r="H116" s="3">
        <f t="shared" si="18"/>
        <v>0</v>
      </c>
      <c r="I116" s="3">
        <f t="shared" si="19"/>
        <v>0</v>
      </c>
      <c r="J116" s="3">
        <f t="shared" si="20"/>
        <v>1</v>
      </c>
      <c r="K116" s="35">
        <f t="shared" si="21"/>
        <v>0</v>
      </c>
      <c r="L116" s="3">
        <v>113</v>
      </c>
      <c r="M116" s="35">
        <f t="shared" si="15"/>
        <v>198.28238605875967</v>
      </c>
      <c r="N116" s="35">
        <f t="shared" si="16"/>
        <v>1.2053516439386298</v>
      </c>
      <c r="O116" s="48">
        <f t="shared" si="17"/>
        <v>251.56075902013092</v>
      </c>
    </row>
    <row r="117" spans="2:15" x14ac:dyDescent="0.3">
      <c r="B117" s="9">
        <v>42452</v>
      </c>
      <c r="C117" s="3" t="s">
        <v>5</v>
      </c>
      <c r="D117" s="3" t="s">
        <v>14</v>
      </c>
      <c r="E117" s="3" t="s">
        <v>15</v>
      </c>
      <c r="F117" s="5" t="s">
        <v>13</v>
      </c>
      <c r="G117" s="4">
        <v>216</v>
      </c>
      <c r="H117" s="3">
        <f t="shared" si="18"/>
        <v>0</v>
      </c>
      <c r="I117" s="3">
        <f t="shared" si="19"/>
        <v>0</v>
      </c>
      <c r="J117" s="3">
        <f t="shared" si="20"/>
        <v>0</v>
      </c>
      <c r="K117" s="35">
        <f t="shared" si="21"/>
        <v>0</v>
      </c>
      <c r="L117" s="3">
        <v>114</v>
      </c>
      <c r="M117" s="35">
        <f t="shared" si="15"/>
        <v>172.63520079836977</v>
      </c>
      <c r="N117" s="35">
        <f t="shared" si="16"/>
        <v>1.2511932618671344</v>
      </c>
      <c r="O117" s="48">
        <f t="shared" si="17"/>
        <v>196.2463480586558</v>
      </c>
    </row>
    <row r="118" spans="2:15" x14ac:dyDescent="0.3">
      <c r="B118" s="9">
        <v>42453</v>
      </c>
      <c r="C118" s="3" t="s">
        <v>6</v>
      </c>
      <c r="D118" s="3" t="s">
        <v>14</v>
      </c>
      <c r="E118" s="3" t="s">
        <v>15</v>
      </c>
      <c r="F118" s="5" t="s">
        <v>13</v>
      </c>
      <c r="G118" s="4">
        <v>231</v>
      </c>
      <c r="H118" s="3">
        <f t="shared" si="18"/>
        <v>0</v>
      </c>
      <c r="I118" s="3">
        <f t="shared" si="19"/>
        <v>0</v>
      </c>
      <c r="J118" s="3">
        <f t="shared" si="20"/>
        <v>0</v>
      </c>
      <c r="K118" s="35">
        <f t="shared" si="21"/>
        <v>0</v>
      </c>
      <c r="L118" s="3">
        <v>115</v>
      </c>
      <c r="M118" s="35">
        <f t="shared" si="15"/>
        <v>172.93550319672309</v>
      </c>
      <c r="N118" s="35">
        <f t="shared" si="16"/>
        <v>1.3357581047844498</v>
      </c>
      <c r="O118" s="48">
        <f t="shared" si="17"/>
        <v>195.61694594496424</v>
      </c>
    </row>
    <row r="119" spans="2:15" x14ac:dyDescent="0.3">
      <c r="B119" s="9">
        <v>42454</v>
      </c>
      <c r="C119" s="3" t="s">
        <v>7</v>
      </c>
      <c r="D119" s="3" t="s">
        <v>11</v>
      </c>
      <c r="E119" s="3" t="s">
        <v>16</v>
      </c>
      <c r="F119" s="5" t="s">
        <v>30</v>
      </c>
      <c r="G119" s="4">
        <v>165</v>
      </c>
      <c r="H119" s="3">
        <f t="shared" si="18"/>
        <v>0</v>
      </c>
      <c r="I119" s="3">
        <f t="shared" si="19"/>
        <v>1</v>
      </c>
      <c r="J119" s="3">
        <f t="shared" si="20"/>
        <v>1</v>
      </c>
      <c r="K119" s="35">
        <f t="shared" si="21"/>
        <v>1</v>
      </c>
      <c r="L119" s="3">
        <v>116</v>
      </c>
      <c r="M119" s="35">
        <f t="shared" si="15"/>
        <v>173.608715057284</v>
      </c>
      <c r="N119" s="35">
        <f t="shared" si="16"/>
        <v>0.95041311690807995</v>
      </c>
      <c r="O119" s="48">
        <f t="shared" si="17"/>
        <v>180.16140502821395</v>
      </c>
    </row>
    <row r="120" spans="2:15" x14ac:dyDescent="0.3">
      <c r="B120" s="9">
        <v>42455</v>
      </c>
      <c r="C120" s="3" t="s">
        <v>8</v>
      </c>
      <c r="D120" s="3" t="s">
        <v>11</v>
      </c>
      <c r="E120" s="3" t="s">
        <v>15</v>
      </c>
      <c r="F120" s="5" t="s">
        <v>13</v>
      </c>
      <c r="G120" s="4">
        <v>186</v>
      </c>
      <c r="H120" s="3">
        <f t="shared" si="18"/>
        <v>0</v>
      </c>
      <c r="I120" s="3">
        <f t="shared" si="19"/>
        <v>0</v>
      </c>
      <c r="J120" s="3">
        <f t="shared" si="20"/>
        <v>1</v>
      </c>
      <c r="K120" s="35">
        <f t="shared" si="21"/>
        <v>0</v>
      </c>
      <c r="L120" s="3">
        <v>117</v>
      </c>
      <c r="M120" s="35">
        <f t="shared" si="15"/>
        <v>199.48359565217297</v>
      </c>
      <c r="N120" s="35">
        <f t="shared" si="16"/>
        <v>0.93240749642550325</v>
      </c>
      <c r="O120" s="48">
        <f t="shared" si="17"/>
        <v>173.42169257613796</v>
      </c>
    </row>
    <row r="121" spans="2:15" x14ac:dyDescent="0.3">
      <c r="B121" s="9">
        <v>42456</v>
      </c>
      <c r="C121" s="3" t="s">
        <v>9</v>
      </c>
      <c r="D121" s="3" t="s">
        <v>11</v>
      </c>
      <c r="E121" s="3" t="s">
        <v>15</v>
      </c>
      <c r="F121" s="5" t="s">
        <v>30</v>
      </c>
      <c r="G121" s="4">
        <v>71</v>
      </c>
      <c r="H121" s="3">
        <f t="shared" si="18"/>
        <v>0</v>
      </c>
      <c r="I121" s="3">
        <f t="shared" si="19"/>
        <v>0</v>
      </c>
      <c r="J121" s="3">
        <f t="shared" si="20"/>
        <v>1</v>
      </c>
      <c r="K121" s="35">
        <f t="shared" si="21"/>
        <v>1</v>
      </c>
      <c r="L121" s="3">
        <v>118</v>
      </c>
      <c r="M121" s="35">
        <f t="shared" si="15"/>
        <v>100.24624628382713</v>
      </c>
      <c r="N121" s="35">
        <f t="shared" si="16"/>
        <v>0.70825594605286013</v>
      </c>
      <c r="O121" s="48">
        <f t="shared" si="17"/>
        <v>50.467955696938617</v>
      </c>
    </row>
    <row r="122" spans="2:15" x14ac:dyDescent="0.3">
      <c r="B122" s="9">
        <v>42457</v>
      </c>
      <c r="C122" s="3" t="s">
        <v>10</v>
      </c>
      <c r="D122" s="3" t="s">
        <v>11</v>
      </c>
      <c r="E122" s="3" t="s">
        <v>16</v>
      </c>
      <c r="F122" s="5" t="s">
        <v>13</v>
      </c>
      <c r="G122" s="4">
        <v>326</v>
      </c>
      <c r="H122" s="3">
        <f t="shared" si="18"/>
        <v>0</v>
      </c>
      <c r="I122" s="3">
        <f t="shared" si="19"/>
        <v>1</v>
      </c>
      <c r="J122" s="3">
        <f t="shared" si="20"/>
        <v>1</v>
      </c>
      <c r="K122" s="35">
        <f t="shared" si="21"/>
        <v>0</v>
      </c>
      <c r="L122" s="3">
        <v>119</v>
      </c>
      <c r="M122" s="35">
        <f t="shared" si="15"/>
        <v>274.04727401904313</v>
      </c>
      <c r="N122" s="35">
        <f t="shared" si="16"/>
        <v>1.1895757809192686</v>
      </c>
      <c r="O122" s="48">
        <f t="shared" si="17"/>
        <v>294.3436626820162</v>
      </c>
    </row>
    <row r="123" spans="2:15" x14ac:dyDescent="0.3">
      <c r="B123" s="9">
        <v>42458</v>
      </c>
      <c r="C123" s="3" t="s">
        <v>4</v>
      </c>
      <c r="D123" s="3" t="s">
        <v>14</v>
      </c>
      <c r="E123" s="3" t="s">
        <v>15</v>
      </c>
      <c r="F123" s="5" t="s">
        <v>13</v>
      </c>
      <c r="G123" s="4">
        <v>241</v>
      </c>
      <c r="H123" s="3">
        <f t="shared" si="18"/>
        <v>0</v>
      </c>
      <c r="I123" s="3">
        <f t="shared" si="19"/>
        <v>0</v>
      </c>
      <c r="J123" s="3">
        <f t="shared" si="20"/>
        <v>0</v>
      </c>
      <c r="K123" s="35">
        <f t="shared" si="21"/>
        <v>0</v>
      </c>
      <c r="L123" s="3">
        <v>120</v>
      </c>
      <c r="M123" s="35">
        <f t="shared" si="15"/>
        <v>174.43701518848974</v>
      </c>
      <c r="N123" s="35">
        <f t="shared" si="16"/>
        <v>1.3815875015952603</v>
      </c>
      <c r="O123" s="48">
        <f t="shared" si="17"/>
        <v>221.30814952478224</v>
      </c>
    </row>
    <row r="124" spans="2:15" x14ac:dyDescent="0.3">
      <c r="B124" s="9">
        <v>42459</v>
      </c>
      <c r="C124" s="3" t="s">
        <v>5</v>
      </c>
      <c r="D124" s="3" t="s">
        <v>14</v>
      </c>
      <c r="E124" s="3" t="s">
        <v>12</v>
      </c>
      <c r="F124" s="5" t="s">
        <v>13</v>
      </c>
      <c r="G124" s="4">
        <v>199</v>
      </c>
      <c r="H124" s="3">
        <f t="shared" si="18"/>
        <v>0</v>
      </c>
      <c r="I124" s="3">
        <f t="shared" si="19"/>
        <v>0</v>
      </c>
      <c r="J124" s="3">
        <f t="shared" si="20"/>
        <v>0</v>
      </c>
      <c r="K124" s="35">
        <f t="shared" si="21"/>
        <v>0</v>
      </c>
      <c r="L124" s="3">
        <v>121</v>
      </c>
      <c r="M124" s="35">
        <f t="shared" si="15"/>
        <v>174.73731758684306</v>
      </c>
      <c r="N124" s="35">
        <f t="shared" si="16"/>
        <v>1.1388523227220686</v>
      </c>
      <c r="O124" s="48">
        <f t="shared" si="17"/>
        <v>198.63596930057446</v>
      </c>
    </row>
    <row r="125" spans="2:15" x14ac:dyDescent="0.3">
      <c r="B125" s="9">
        <v>42460</v>
      </c>
      <c r="C125" s="3" t="s">
        <v>6</v>
      </c>
      <c r="D125" s="3" t="s">
        <v>31</v>
      </c>
      <c r="E125" s="3" t="s">
        <v>15</v>
      </c>
      <c r="F125" s="5" t="s">
        <v>13</v>
      </c>
      <c r="G125" s="4">
        <v>174</v>
      </c>
      <c r="H125" s="3">
        <f t="shared" si="18"/>
        <v>0</v>
      </c>
      <c r="I125" s="3">
        <f t="shared" si="19"/>
        <v>0</v>
      </c>
      <c r="J125" s="3">
        <f t="shared" si="20"/>
        <v>0</v>
      </c>
      <c r="K125" s="35">
        <f t="shared" si="21"/>
        <v>0</v>
      </c>
      <c r="L125" s="3">
        <v>122</v>
      </c>
      <c r="M125" s="35">
        <f t="shared" si="15"/>
        <v>175.03761998519639</v>
      </c>
      <c r="N125" s="35">
        <f t="shared" si="16"/>
        <v>0.99407201728814554</v>
      </c>
      <c r="O125" s="48">
        <f t="shared" si="17"/>
        <v>197.99476691624861</v>
      </c>
    </row>
    <row r="126" spans="2:15" x14ac:dyDescent="0.3">
      <c r="B126" s="9">
        <v>42461</v>
      </c>
      <c r="C126" s="3" t="s">
        <v>7</v>
      </c>
      <c r="D126" s="3" t="s">
        <v>31</v>
      </c>
      <c r="E126" s="3" t="s">
        <v>16</v>
      </c>
      <c r="F126" s="5" t="s">
        <v>13</v>
      </c>
      <c r="G126" s="4">
        <v>219</v>
      </c>
      <c r="H126" s="3">
        <f t="shared" si="18"/>
        <v>0</v>
      </c>
      <c r="I126" s="3">
        <f t="shared" si="19"/>
        <v>1</v>
      </c>
      <c r="J126" s="3">
        <f t="shared" si="20"/>
        <v>0</v>
      </c>
      <c r="K126" s="35">
        <f t="shared" si="21"/>
        <v>0</v>
      </c>
      <c r="L126" s="3">
        <v>123</v>
      </c>
      <c r="M126" s="35">
        <f t="shared" si="15"/>
        <v>249.30099595371323</v>
      </c>
      <c r="N126" s="35">
        <f t="shared" si="16"/>
        <v>0.87845617769076578</v>
      </c>
      <c r="O126" s="48">
        <f t="shared" si="17"/>
        <v>258.71061652137723</v>
      </c>
    </row>
    <row r="127" spans="2:15" x14ac:dyDescent="0.3">
      <c r="B127" s="9">
        <v>42462</v>
      </c>
      <c r="C127" s="3" t="s">
        <v>8</v>
      </c>
      <c r="D127" s="3" t="s">
        <v>14</v>
      </c>
      <c r="E127" s="3" t="s">
        <v>16</v>
      </c>
      <c r="F127" s="5" t="s">
        <v>13</v>
      </c>
      <c r="G127" s="4">
        <v>236</v>
      </c>
      <c r="H127" s="3">
        <f t="shared" si="18"/>
        <v>0</v>
      </c>
      <c r="I127" s="3">
        <f t="shared" si="19"/>
        <v>1</v>
      </c>
      <c r="J127" s="3">
        <f t="shared" si="20"/>
        <v>0</v>
      </c>
      <c r="K127" s="35">
        <f t="shared" si="21"/>
        <v>0</v>
      </c>
      <c r="L127" s="3">
        <v>124</v>
      </c>
      <c r="M127" s="35">
        <f t="shared" si="15"/>
        <v>249.60129835206655</v>
      </c>
      <c r="N127" s="35">
        <f t="shared" si="16"/>
        <v>0.94550790223502079</v>
      </c>
      <c r="O127" s="48">
        <f t="shared" si="17"/>
        <v>216.99167537010183</v>
      </c>
    </row>
    <row r="128" spans="2:15" ht="15" thickBot="1" x14ac:dyDescent="0.35">
      <c r="B128" s="10">
        <v>42463</v>
      </c>
      <c r="C128" s="7" t="s">
        <v>9</v>
      </c>
      <c r="D128" s="7" t="s">
        <v>11</v>
      </c>
      <c r="E128" s="7" t="s">
        <v>29</v>
      </c>
      <c r="F128" s="8" t="s">
        <v>13</v>
      </c>
      <c r="G128" s="6">
        <v>130</v>
      </c>
      <c r="H128" s="7">
        <f t="shared" si="18"/>
        <v>1</v>
      </c>
      <c r="I128" s="7">
        <f t="shared" si="19"/>
        <v>0</v>
      </c>
      <c r="J128" s="7">
        <f t="shared" si="20"/>
        <v>1</v>
      </c>
      <c r="K128" s="50">
        <f t="shared" si="21"/>
        <v>0</v>
      </c>
      <c r="L128" s="7">
        <v>125</v>
      </c>
      <c r="M128" s="50">
        <f t="shared" si="15"/>
        <v>316.71376595002033</v>
      </c>
      <c r="N128" s="50">
        <f t="shared" si="16"/>
        <v>0.41046526541102391</v>
      </c>
      <c r="O128" s="43">
        <f t="shared" si="17"/>
        <v>159.44633241748539</v>
      </c>
    </row>
    <row r="129" spans="2:15" ht="15" thickBot="1" x14ac:dyDescent="0.35">
      <c r="B129" s="36">
        <v>42464</v>
      </c>
      <c r="C129" t="s">
        <v>10</v>
      </c>
      <c r="D129" t="s">
        <v>11</v>
      </c>
      <c r="E129" t="s">
        <v>70</v>
      </c>
      <c r="F129" t="s">
        <v>30</v>
      </c>
      <c r="G129">
        <v>200</v>
      </c>
      <c r="H129" s="7">
        <f t="shared" si="18"/>
        <v>0</v>
      </c>
      <c r="I129" s="7">
        <f t="shared" si="19"/>
        <v>0</v>
      </c>
      <c r="J129" s="7">
        <f t="shared" si="20"/>
        <v>1</v>
      </c>
      <c r="K129" s="50">
        <f t="shared" si="21"/>
        <v>1</v>
      </c>
      <c r="L129" s="7">
        <v>125</v>
      </c>
      <c r="M129" s="50">
        <f t="shared" si="15"/>
        <v>102.34836307230043</v>
      </c>
      <c r="N129" s="50">
        <f t="shared" si="16"/>
        <v>1.9541103931356183</v>
      </c>
      <c r="O129" s="43">
        <f t="shared" si="17"/>
        <v>109.92844998748771</v>
      </c>
    </row>
    <row r="130" spans="2:15" ht="15" thickBot="1" x14ac:dyDescent="0.35">
      <c r="B130" s="36">
        <v>42465</v>
      </c>
      <c r="C130" t="s">
        <v>4</v>
      </c>
      <c r="D130" t="s">
        <v>14</v>
      </c>
      <c r="E130" t="s">
        <v>32</v>
      </c>
      <c r="F130" t="s">
        <v>13</v>
      </c>
      <c r="G130">
        <v>754</v>
      </c>
      <c r="H130" s="7">
        <f t="shared" si="18"/>
        <v>1</v>
      </c>
      <c r="I130" s="7">
        <f t="shared" si="19"/>
        <v>0</v>
      </c>
      <c r="J130" s="7">
        <f t="shared" si="20"/>
        <v>0</v>
      </c>
      <c r="K130" s="50">
        <f t="shared" si="21"/>
        <v>0</v>
      </c>
      <c r="L130" s="7">
        <v>125</v>
      </c>
      <c r="M130" s="50">
        <f t="shared" si="15"/>
        <v>290.7662782912771</v>
      </c>
      <c r="N130" s="50">
        <f t="shared" si="16"/>
        <v>2.5931480240108016</v>
      </c>
      <c r="O130" s="43">
        <f t="shared" si="17"/>
        <v>368.89502450679674</v>
      </c>
    </row>
    <row r="131" spans="2:15" ht="15" thickBot="1" x14ac:dyDescent="0.35">
      <c r="B131" s="36">
        <v>42466</v>
      </c>
      <c r="C131" t="s">
        <v>5</v>
      </c>
      <c r="D131" t="s">
        <v>11</v>
      </c>
      <c r="E131" t="s">
        <v>70</v>
      </c>
      <c r="F131" t="s">
        <v>30</v>
      </c>
      <c r="G131">
        <v>515</v>
      </c>
      <c r="H131" s="7">
        <f t="shared" si="18"/>
        <v>0</v>
      </c>
      <c r="I131" s="7">
        <f t="shared" si="19"/>
        <v>0</v>
      </c>
      <c r="J131" s="7">
        <f t="shared" si="20"/>
        <v>1</v>
      </c>
      <c r="K131" s="50">
        <f t="shared" si="21"/>
        <v>1</v>
      </c>
      <c r="L131" s="7">
        <v>125</v>
      </c>
      <c r="M131" s="50">
        <f t="shared" si="15"/>
        <v>102.34836307230043</v>
      </c>
      <c r="N131" s="50">
        <f t="shared" si="16"/>
        <v>5.0318342623242174</v>
      </c>
      <c r="O131" s="43">
        <f t="shared" si="17"/>
        <v>116.34644840584573</v>
      </c>
    </row>
    <row r="132" spans="2:15" ht="15" thickBot="1" x14ac:dyDescent="0.35">
      <c r="B132" s="36">
        <v>42467</v>
      </c>
      <c r="C132" t="s">
        <v>6</v>
      </c>
      <c r="D132" t="s">
        <v>11</v>
      </c>
      <c r="E132" t="s">
        <v>70</v>
      </c>
      <c r="F132" t="s">
        <v>30</v>
      </c>
      <c r="G132">
        <v>451</v>
      </c>
      <c r="H132" s="7">
        <f t="shared" si="18"/>
        <v>0</v>
      </c>
      <c r="I132" s="7">
        <f t="shared" si="19"/>
        <v>0</v>
      </c>
      <c r="J132" s="7">
        <f t="shared" si="20"/>
        <v>1</v>
      </c>
      <c r="K132" s="50">
        <f t="shared" si="21"/>
        <v>1</v>
      </c>
      <c r="L132" s="7">
        <v>125</v>
      </c>
      <c r="M132" s="50">
        <f t="shared" si="15"/>
        <v>102.34836307230043</v>
      </c>
      <c r="N132" s="50">
        <f t="shared" si="16"/>
        <v>4.4065189365208193</v>
      </c>
      <c r="O132" s="43">
        <f t="shared" si="17"/>
        <v>115.77191401753265</v>
      </c>
    </row>
    <row r="133" spans="2:15" ht="15" thickBot="1" x14ac:dyDescent="0.35">
      <c r="B133" s="36">
        <v>42468</v>
      </c>
      <c r="C133" t="s">
        <v>7</v>
      </c>
      <c r="D133" t="s">
        <v>26</v>
      </c>
      <c r="E133" t="s">
        <v>70</v>
      </c>
      <c r="F133" t="s">
        <v>30</v>
      </c>
      <c r="G133">
        <v>200</v>
      </c>
      <c r="H133" s="7">
        <f t="shared" si="18"/>
        <v>0</v>
      </c>
      <c r="I133" s="7">
        <f t="shared" si="19"/>
        <v>0</v>
      </c>
      <c r="J133" s="7">
        <f t="shared" si="20"/>
        <v>0</v>
      </c>
      <c r="K133" s="50">
        <f t="shared" si="21"/>
        <v>1</v>
      </c>
      <c r="L133" s="7">
        <v>125</v>
      </c>
      <c r="M133" s="50">
        <f t="shared" si="15"/>
        <v>76.400875413557202</v>
      </c>
      <c r="N133" s="50">
        <f t="shared" si="16"/>
        <v>2.6177710519336581</v>
      </c>
      <c r="O133" s="43">
        <f t="shared" si="17"/>
        <v>79.284551212479485</v>
      </c>
    </row>
    <row r="134" spans="2:15" ht="15" thickBot="1" x14ac:dyDescent="0.35">
      <c r="B134" s="36">
        <v>42469</v>
      </c>
      <c r="C134" t="s">
        <v>8</v>
      </c>
      <c r="D134" t="s">
        <v>11</v>
      </c>
      <c r="E134" t="s">
        <v>70</v>
      </c>
      <c r="F134" t="s">
        <v>30</v>
      </c>
      <c r="G134">
        <v>8</v>
      </c>
      <c r="H134" s="7">
        <f t="shared" si="18"/>
        <v>0</v>
      </c>
      <c r="I134" s="7">
        <f t="shared" si="19"/>
        <v>0</v>
      </c>
      <c r="J134" s="7">
        <f t="shared" si="20"/>
        <v>1</v>
      </c>
      <c r="K134" s="50">
        <f t="shared" si="21"/>
        <v>1</v>
      </c>
      <c r="L134" s="7">
        <v>125</v>
      </c>
      <c r="M134" s="50">
        <f t="shared" si="15"/>
        <v>102.34836307230043</v>
      </c>
      <c r="N134" s="50">
        <f t="shared" si="16"/>
        <v>7.8164415725424735E-2</v>
      </c>
      <c r="O134" s="43">
        <f t="shared" si="17"/>
        <v>88.976871999760803</v>
      </c>
    </row>
    <row r="135" spans="2:15" ht="15" thickBot="1" x14ac:dyDescent="0.35">
      <c r="B135" s="36">
        <v>42470</v>
      </c>
      <c r="C135" t="s">
        <v>9</v>
      </c>
      <c r="D135" t="s">
        <v>26</v>
      </c>
      <c r="E135" t="s">
        <v>70</v>
      </c>
      <c r="F135" t="s">
        <v>30</v>
      </c>
      <c r="G135">
        <v>151</v>
      </c>
      <c r="H135" s="7">
        <f t="shared" si="18"/>
        <v>0</v>
      </c>
      <c r="I135" s="7">
        <f t="shared" si="19"/>
        <v>0</v>
      </c>
      <c r="J135" s="7">
        <f t="shared" si="20"/>
        <v>0</v>
      </c>
      <c r="K135" s="50">
        <f t="shared" si="21"/>
        <v>1</v>
      </c>
      <c r="L135" s="7">
        <v>125</v>
      </c>
      <c r="M135" s="50">
        <f t="shared" si="15"/>
        <v>76.400875413557202</v>
      </c>
      <c r="N135" s="50">
        <f t="shared" si="16"/>
        <v>1.9764171442099119</v>
      </c>
      <c r="O135" s="43">
        <f t="shared" si="17"/>
        <v>38.463245642752739</v>
      </c>
    </row>
    <row r="136" spans="2:15" ht="15" thickBot="1" x14ac:dyDescent="0.35">
      <c r="B136" s="36">
        <v>42471</v>
      </c>
      <c r="C136" t="s">
        <v>10</v>
      </c>
      <c r="D136" t="s">
        <v>11</v>
      </c>
      <c r="E136" t="s">
        <v>70</v>
      </c>
      <c r="F136" t="s">
        <v>30</v>
      </c>
      <c r="G136">
        <v>151</v>
      </c>
      <c r="H136" s="7">
        <f t="shared" si="18"/>
        <v>0</v>
      </c>
      <c r="I136" s="7">
        <f t="shared" si="19"/>
        <v>0</v>
      </c>
      <c r="J136" s="7">
        <f t="shared" si="20"/>
        <v>1</v>
      </c>
      <c r="K136" s="50">
        <f t="shared" si="21"/>
        <v>1</v>
      </c>
      <c r="L136" s="7">
        <v>125</v>
      </c>
      <c r="M136" s="50">
        <f t="shared" si="15"/>
        <v>102.34836307230043</v>
      </c>
      <c r="N136" s="50">
        <f t="shared" si="16"/>
        <v>1.4753533468173918</v>
      </c>
      <c r="O136" s="43">
        <f t="shared" si="17"/>
        <v>109.92844998748771</v>
      </c>
    </row>
    <row r="137" spans="2:15" ht="15" thickBot="1" x14ac:dyDescent="0.35">
      <c r="B137" s="36">
        <v>42472</v>
      </c>
      <c r="C137" t="s">
        <v>4</v>
      </c>
      <c r="D137" t="s">
        <v>26</v>
      </c>
      <c r="E137" t="s">
        <v>70</v>
      </c>
      <c r="F137" t="s">
        <v>30</v>
      </c>
      <c r="G137">
        <v>183</v>
      </c>
      <c r="H137" s="7">
        <f t="shared" si="18"/>
        <v>0</v>
      </c>
      <c r="I137" s="7">
        <f t="shared" si="19"/>
        <v>0</v>
      </c>
      <c r="J137" s="7">
        <f t="shared" si="20"/>
        <v>0</v>
      </c>
      <c r="K137" s="50">
        <f t="shared" si="21"/>
        <v>1</v>
      </c>
      <c r="L137" s="7">
        <v>125</v>
      </c>
      <c r="M137" s="50">
        <f t="shared" si="15"/>
        <v>76.400875413557202</v>
      </c>
      <c r="N137" s="50">
        <f t="shared" si="16"/>
        <v>2.3952605125192972</v>
      </c>
      <c r="O137" s="43">
        <f t="shared" si="17"/>
        <v>96.929750498066667</v>
      </c>
    </row>
    <row r="138" spans="2:15" ht="15" thickBot="1" x14ac:dyDescent="0.35">
      <c r="B138" s="36">
        <v>42473</v>
      </c>
      <c r="C138" t="s">
        <v>5</v>
      </c>
      <c r="D138" t="s">
        <v>11</v>
      </c>
      <c r="E138" t="s">
        <v>32</v>
      </c>
      <c r="F138" t="s">
        <v>30</v>
      </c>
      <c r="G138">
        <v>154</v>
      </c>
      <c r="H138" s="7">
        <f t="shared" si="18"/>
        <v>1</v>
      </c>
      <c r="I138" s="7">
        <f t="shared" si="19"/>
        <v>0</v>
      </c>
      <c r="J138" s="7">
        <f t="shared" si="20"/>
        <v>1</v>
      </c>
      <c r="K138" s="50">
        <f t="shared" si="21"/>
        <v>1</v>
      </c>
      <c r="L138" s="7">
        <v>125</v>
      </c>
      <c r="M138" s="50">
        <f t="shared" si="15"/>
        <v>217.17611418332115</v>
      </c>
      <c r="N138" s="50">
        <f t="shared" si="16"/>
        <v>0.70910192209262302</v>
      </c>
      <c r="O138" s="43">
        <f t="shared" si="17"/>
        <v>246.8790785248062</v>
      </c>
    </row>
  </sheetData>
  <mergeCells count="2">
    <mergeCell ref="D2:F2"/>
    <mergeCell ref="G2:J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Y138"/>
  <sheetViews>
    <sheetView topLeftCell="B3" workbookViewId="0">
      <selection activeCell="Q19" sqref="Q19:R24"/>
    </sheetView>
  </sheetViews>
  <sheetFormatPr defaultRowHeight="14.4" x14ac:dyDescent="0.3"/>
  <cols>
    <col min="17" max="17" width="11" customWidth="1"/>
    <col min="18" max="18" width="13.88671875" customWidth="1"/>
  </cols>
  <sheetData>
    <row r="1" spans="2:22" ht="15" thickBot="1" x14ac:dyDescent="0.35"/>
    <row r="2" spans="2:22" ht="15" thickBot="1" x14ac:dyDescent="0.35">
      <c r="B2" s="2"/>
      <c r="C2" s="1"/>
      <c r="D2" s="61" t="s">
        <v>1</v>
      </c>
      <c r="E2" s="59"/>
      <c r="F2" s="60"/>
      <c r="G2" s="58" t="s">
        <v>27</v>
      </c>
      <c r="H2" s="59"/>
      <c r="I2" s="59"/>
      <c r="J2" s="59"/>
      <c r="Q2" t="s">
        <v>62</v>
      </c>
    </row>
    <row r="3" spans="2:22" x14ac:dyDescent="0.3">
      <c r="B3" s="53" t="s">
        <v>0</v>
      </c>
      <c r="C3" s="46" t="s">
        <v>25</v>
      </c>
      <c r="D3" s="46" t="s">
        <v>2</v>
      </c>
      <c r="E3" s="46" t="s">
        <v>3</v>
      </c>
      <c r="F3" s="47" t="s">
        <v>28</v>
      </c>
      <c r="G3" s="56" t="s">
        <v>20</v>
      </c>
      <c r="H3" s="46" t="s">
        <v>32</v>
      </c>
      <c r="I3" s="46" t="s">
        <v>16</v>
      </c>
      <c r="J3" s="46" t="s">
        <v>11</v>
      </c>
      <c r="K3" s="46" t="s">
        <v>33</v>
      </c>
      <c r="L3" s="46" t="s">
        <v>34</v>
      </c>
      <c r="M3" s="46" t="s">
        <v>58</v>
      </c>
      <c r="N3" s="46" t="s">
        <v>63</v>
      </c>
      <c r="O3" s="47" t="s">
        <v>66</v>
      </c>
      <c r="Q3" t="s">
        <v>35</v>
      </c>
    </row>
    <row r="4" spans="2:22" ht="15" thickBot="1" x14ac:dyDescent="0.35">
      <c r="B4" s="9">
        <v>42339</v>
      </c>
      <c r="C4" s="3" t="s">
        <v>4</v>
      </c>
      <c r="D4" s="3" t="s">
        <v>11</v>
      </c>
      <c r="E4" s="3" t="s">
        <v>15</v>
      </c>
      <c r="F4" s="5" t="s">
        <v>13</v>
      </c>
      <c r="G4" s="4">
        <v>144</v>
      </c>
      <c r="H4" s="3">
        <f t="shared" ref="H4:H35" si="0">IF(E4=$H$3,1,0)</f>
        <v>0</v>
      </c>
      <c r="I4" s="3">
        <f t="shared" ref="I4:I35" si="1">IF(E4=$I$3,1,0)</f>
        <v>0</v>
      </c>
      <c r="J4" s="3">
        <f t="shared" ref="J4:J35" si="2">IF(D4=J$3,1,0)</f>
        <v>1</v>
      </c>
      <c r="K4" s="35">
        <f t="shared" ref="K4:K35" si="3">IF(F4="Yes",1,0)</f>
        <v>0</v>
      </c>
      <c r="L4" s="3">
        <v>1</v>
      </c>
      <c r="M4" s="35">
        <f>$R$19+$R$20*H4+$R$21*I4+$R$22*J4+$R$23*K4+$R$24*L4</f>
        <v>121.59582685205721</v>
      </c>
      <c r="N4" s="35">
        <f>G4/M4</f>
        <v>1.1842511682181447</v>
      </c>
      <c r="O4" s="48">
        <f>VLOOKUP(C4,$Q$30:$R$36,2,FALSE)*M4</f>
        <v>143.88050429101909</v>
      </c>
    </row>
    <row r="5" spans="2:22" x14ac:dyDescent="0.3">
      <c r="B5" s="9">
        <v>42340</v>
      </c>
      <c r="C5" s="3" t="s">
        <v>5</v>
      </c>
      <c r="D5" s="3" t="s">
        <v>11</v>
      </c>
      <c r="E5" s="3" t="s">
        <v>29</v>
      </c>
      <c r="F5" s="5" t="s">
        <v>13</v>
      </c>
      <c r="G5" s="4">
        <v>247</v>
      </c>
      <c r="H5" s="3">
        <f t="shared" si="0"/>
        <v>1</v>
      </c>
      <c r="I5" s="3">
        <f t="shared" si="1"/>
        <v>0</v>
      </c>
      <c r="J5" s="3">
        <f t="shared" si="2"/>
        <v>1</v>
      </c>
      <c r="K5" s="35">
        <f t="shared" si="3"/>
        <v>0</v>
      </c>
      <c r="L5" s="3">
        <v>2</v>
      </c>
      <c r="M5" s="35">
        <f t="shared" ref="M5:M68" si="4">$R$19+$R$20*H5+$R$21*I5+$R$22*J5+$R$23*K5+$R$24*L5</f>
        <v>220.75545246563823</v>
      </c>
      <c r="N5" s="35">
        <f t="shared" ref="N5:N68" si="5">G5/M5</f>
        <v>1.1188851611193924</v>
      </c>
      <c r="O5" s="48">
        <f t="shared" ref="O5:O68" si="6">VLOOKUP(C5,$Q$30:$R$36,2,FALSE)*M5</f>
        <v>286.39712599578633</v>
      </c>
      <c r="Q5" s="32" t="s">
        <v>36</v>
      </c>
      <c r="R5" s="32"/>
    </row>
    <row r="6" spans="2:22" x14ac:dyDescent="0.3">
      <c r="B6" s="9">
        <v>42341</v>
      </c>
      <c r="C6" s="3" t="s">
        <v>6</v>
      </c>
      <c r="D6" s="3" t="s">
        <v>14</v>
      </c>
      <c r="E6" s="3" t="s">
        <v>15</v>
      </c>
      <c r="F6" s="5" t="s">
        <v>13</v>
      </c>
      <c r="G6" s="4">
        <v>134</v>
      </c>
      <c r="H6" s="3">
        <f t="shared" si="0"/>
        <v>0</v>
      </c>
      <c r="I6" s="3">
        <f t="shared" si="1"/>
        <v>0</v>
      </c>
      <c r="J6" s="3">
        <f t="shared" si="2"/>
        <v>0</v>
      </c>
      <c r="K6" s="35">
        <f t="shared" si="3"/>
        <v>0</v>
      </c>
      <c r="L6" s="3">
        <v>3</v>
      </c>
      <c r="M6" s="35">
        <f t="shared" si="4"/>
        <v>102.4881222141461</v>
      </c>
      <c r="N6" s="35">
        <f t="shared" si="5"/>
        <v>1.3074685837253481</v>
      </c>
      <c r="O6" s="48">
        <f t="shared" si="6"/>
        <v>112.55334433909768</v>
      </c>
      <c r="Q6" s="29" t="s">
        <v>37</v>
      </c>
      <c r="R6" s="29">
        <v>0.66564689498639551</v>
      </c>
    </row>
    <row r="7" spans="2:22" x14ac:dyDescent="0.3">
      <c r="B7" s="9">
        <v>42342</v>
      </c>
      <c r="C7" s="3" t="s">
        <v>7</v>
      </c>
      <c r="D7" s="3" t="s">
        <v>11</v>
      </c>
      <c r="E7" s="3" t="s">
        <v>15</v>
      </c>
      <c r="F7" s="5" t="s">
        <v>13</v>
      </c>
      <c r="G7" s="4">
        <v>114</v>
      </c>
      <c r="H7" s="3">
        <f t="shared" si="0"/>
        <v>0</v>
      </c>
      <c r="I7" s="3">
        <f t="shared" si="1"/>
        <v>0</v>
      </c>
      <c r="J7" s="3">
        <f t="shared" si="2"/>
        <v>1</v>
      </c>
      <c r="K7" s="35">
        <f t="shared" si="3"/>
        <v>0</v>
      </c>
      <c r="L7" s="3">
        <v>4</v>
      </c>
      <c r="M7" s="35">
        <f t="shared" si="4"/>
        <v>123.08317695565735</v>
      </c>
      <c r="N7" s="35">
        <f t="shared" si="5"/>
        <v>0.92620293706807955</v>
      </c>
      <c r="O7" s="48">
        <f t="shared" si="6"/>
        <v>116.62649160364475</v>
      </c>
      <c r="Q7" s="29" t="s">
        <v>38</v>
      </c>
      <c r="R7" s="29">
        <v>0.44308578880502941</v>
      </c>
    </row>
    <row r="8" spans="2:22" x14ac:dyDescent="0.3">
      <c r="B8" s="9">
        <v>42343</v>
      </c>
      <c r="C8" s="3" t="s">
        <v>8</v>
      </c>
      <c r="D8" s="3" t="s">
        <v>11</v>
      </c>
      <c r="E8" s="3" t="s">
        <v>15</v>
      </c>
      <c r="F8" s="5" t="s">
        <v>13</v>
      </c>
      <c r="G8" s="4">
        <v>99</v>
      </c>
      <c r="H8" s="3">
        <f t="shared" si="0"/>
        <v>0</v>
      </c>
      <c r="I8" s="3">
        <f t="shared" si="1"/>
        <v>0</v>
      </c>
      <c r="J8" s="3">
        <f t="shared" si="2"/>
        <v>1</v>
      </c>
      <c r="K8" s="35">
        <f t="shared" si="3"/>
        <v>0</v>
      </c>
      <c r="L8" s="3">
        <v>5</v>
      </c>
      <c r="M8" s="35">
        <f t="shared" si="4"/>
        <v>123.57896032352407</v>
      </c>
      <c r="N8" s="35">
        <f t="shared" si="5"/>
        <v>0.80110724140114564</v>
      </c>
      <c r="O8" s="48">
        <f t="shared" si="6"/>
        <v>98.900468360366375</v>
      </c>
      <c r="Q8" s="29" t="s">
        <v>39</v>
      </c>
      <c r="R8" s="29">
        <v>0.41968603203213145</v>
      </c>
    </row>
    <row r="9" spans="2:22" x14ac:dyDescent="0.3">
      <c r="B9" s="9">
        <v>42344</v>
      </c>
      <c r="C9" s="3" t="s">
        <v>9</v>
      </c>
      <c r="D9" s="3" t="s">
        <v>14</v>
      </c>
      <c r="E9" s="3" t="s">
        <v>16</v>
      </c>
      <c r="F9" s="5" t="s">
        <v>13</v>
      </c>
      <c r="G9" s="4">
        <v>85</v>
      </c>
      <c r="H9" s="3">
        <f t="shared" si="0"/>
        <v>0</v>
      </c>
      <c r="I9" s="3">
        <f t="shared" si="1"/>
        <v>1</v>
      </c>
      <c r="J9" s="3">
        <f t="shared" si="2"/>
        <v>0</v>
      </c>
      <c r="K9" s="35">
        <f t="shared" si="3"/>
        <v>0</v>
      </c>
      <c r="L9" s="3">
        <v>6</v>
      </c>
      <c r="M9" s="35">
        <f t="shared" si="4"/>
        <v>161.93667043249911</v>
      </c>
      <c r="N9" s="35">
        <f t="shared" si="5"/>
        <v>0.52489655229407095</v>
      </c>
      <c r="O9" s="48">
        <f t="shared" si="6"/>
        <v>100.83211792385745</v>
      </c>
      <c r="Q9" s="29" t="s">
        <v>40</v>
      </c>
      <c r="R9" s="29">
        <v>43.856344893462776</v>
      </c>
    </row>
    <row r="10" spans="2:22" ht="15" thickBot="1" x14ac:dyDescent="0.35">
      <c r="B10" s="9">
        <v>42345</v>
      </c>
      <c r="C10" s="3" t="s">
        <v>10</v>
      </c>
      <c r="D10" s="3" t="s">
        <v>11</v>
      </c>
      <c r="E10" s="3" t="s">
        <v>29</v>
      </c>
      <c r="F10" s="5" t="s">
        <v>13</v>
      </c>
      <c r="G10" s="4">
        <v>205</v>
      </c>
      <c r="H10" s="3">
        <f t="shared" si="0"/>
        <v>1</v>
      </c>
      <c r="I10" s="3">
        <f t="shared" si="1"/>
        <v>0</v>
      </c>
      <c r="J10" s="3">
        <f t="shared" si="2"/>
        <v>1</v>
      </c>
      <c r="K10" s="35">
        <f t="shared" si="3"/>
        <v>0</v>
      </c>
      <c r="L10" s="3">
        <v>7</v>
      </c>
      <c r="M10" s="35">
        <f t="shared" si="4"/>
        <v>223.23436930497181</v>
      </c>
      <c r="N10" s="35">
        <f t="shared" si="5"/>
        <v>0.91831737486596021</v>
      </c>
      <c r="O10" s="48">
        <f t="shared" si="6"/>
        <v>240.82463982123244</v>
      </c>
      <c r="Q10" s="30" t="s">
        <v>41</v>
      </c>
      <c r="R10" s="30">
        <v>125</v>
      </c>
    </row>
    <row r="11" spans="2:22" x14ac:dyDescent="0.3">
      <c r="B11" s="9">
        <v>42346</v>
      </c>
      <c r="C11" s="3" t="s">
        <v>4</v>
      </c>
      <c r="D11" s="3" t="s">
        <v>11</v>
      </c>
      <c r="E11" s="3" t="s">
        <v>15</v>
      </c>
      <c r="F11" s="5" t="s">
        <v>13</v>
      </c>
      <c r="G11" s="4">
        <v>149</v>
      </c>
      <c r="H11" s="3">
        <f t="shared" si="0"/>
        <v>0</v>
      </c>
      <c r="I11" s="3">
        <f t="shared" si="1"/>
        <v>0</v>
      </c>
      <c r="J11" s="3">
        <f t="shared" si="2"/>
        <v>1</v>
      </c>
      <c r="K11" s="35">
        <f t="shared" si="3"/>
        <v>0</v>
      </c>
      <c r="L11" s="3">
        <v>8</v>
      </c>
      <c r="M11" s="35">
        <f t="shared" si="4"/>
        <v>125.06631042712421</v>
      </c>
      <c r="N11" s="35">
        <f t="shared" si="5"/>
        <v>1.1913679990329762</v>
      </c>
      <c r="O11" s="48">
        <f t="shared" si="6"/>
        <v>147.98701797525817</v>
      </c>
    </row>
    <row r="12" spans="2:22" ht="15" thickBot="1" x14ac:dyDescent="0.35">
      <c r="B12" s="9">
        <v>42347</v>
      </c>
      <c r="C12" s="3" t="s">
        <v>5</v>
      </c>
      <c r="D12" s="3" t="s">
        <v>11</v>
      </c>
      <c r="E12" s="3" t="s">
        <v>16</v>
      </c>
      <c r="F12" s="5" t="s">
        <v>13</v>
      </c>
      <c r="G12" s="4">
        <v>235</v>
      </c>
      <c r="H12" s="3">
        <f t="shared" si="0"/>
        <v>0</v>
      </c>
      <c r="I12" s="3">
        <f t="shared" si="1"/>
        <v>1</v>
      </c>
      <c r="J12" s="3">
        <f t="shared" si="2"/>
        <v>1</v>
      </c>
      <c r="K12" s="35">
        <f t="shared" si="3"/>
        <v>0</v>
      </c>
      <c r="L12" s="3">
        <v>9</v>
      </c>
      <c r="M12" s="35">
        <f t="shared" si="4"/>
        <v>183.52329190974379</v>
      </c>
      <c r="N12" s="35">
        <f t="shared" si="5"/>
        <v>1.2804914164005532</v>
      </c>
      <c r="O12" s="48">
        <f t="shared" si="6"/>
        <v>238.09397579621594</v>
      </c>
      <c r="Q12" t="s">
        <v>42</v>
      </c>
    </row>
    <row r="13" spans="2:22" x14ac:dyDescent="0.3">
      <c r="B13" s="9">
        <v>42348</v>
      </c>
      <c r="C13" s="3" t="s">
        <v>6</v>
      </c>
      <c r="D13" s="3" t="s">
        <v>26</v>
      </c>
      <c r="E13" s="3" t="s">
        <v>16</v>
      </c>
      <c r="F13" s="5" t="s">
        <v>13</v>
      </c>
      <c r="G13" s="4">
        <v>171</v>
      </c>
      <c r="H13" s="3">
        <f t="shared" si="0"/>
        <v>0</v>
      </c>
      <c r="I13" s="3">
        <f t="shared" si="1"/>
        <v>1</v>
      </c>
      <c r="J13" s="3">
        <f t="shared" si="2"/>
        <v>0</v>
      </c>
      <c r="K13" s="35">
        <f t="shared" si="3"/>
        <v>0</v>
      </c>
      <c r="L13" s="3">
        <v>10</v>
      </c>
      <c r="M13" s="35">
        <f t="shared" si="4"/>
        <v>163.91980390396597</v>
      </c>
      <c r="N13" s="35">
        <f t="shared" si="5"/>
        <v>1.0431930488410175</v>
      </c>
      <c r="O13" s="48">
        <f t="shared" si="6"/>
        <v>180.01814975446877</v>
      </c>
      <c r="Q13" s="31"/>
      <c r="R13" s="31" t="s">
        <v>47</v>
      </c>
      <c r="S13" s="31" t="s">
        <v>48</v>
      </c>
      <c r="T13" s="31" t="s">
        <v>49</v>
      </c>
      <c r="U13" s="31" t="s">
        <v>50</v>
      </c>
      <c r="V13" s="31" t="s">
        <v>51</v>
      </c>
    </row>
    <row r="14" spans="2:22" x14ac:dyDescent="0.3">
      <c r="B14" s="9">
        <v>42349</v>
      </c>
      <c r="C14" s="3" t="s">
        <v>7</v>
      </c>
      <c r="D14" s="3" t="s">
        <v>14</v>
      </c>
      <c r="E14" s="3" t="s">
        <v>16</v>
      </c>
      <c r="F14" s="5" t="s">
        <v>13</v>
      </c>
      <c r="G14" s="4">
        <v>143</v>
      </c>
      <c r="H14" s="3">
        <f t="shared" si="0"/>
        <v>0</v>
      </c>
      <c r="I14" s="3">
        <f t="shared" si="1"/>
        <v>1</v>
      </c>
      <c r="J14" s="3">
        <f t="shared" si="2"/>
        <v>0</v>
      </c>
      <c r="K14" s="35">
        <f t="shared" si="3"/>
        <v>0</v>
      </c>
      <c r="L14" s="3">
        <v>11</v>
      </c>
      <c r="M14" s="35">
        <f t="shared" si="4"/>
        <v>164.41558727183266</v>
      </c>
      <c r="N14" s="35">
        <f t="shared" si="5"/>
        <v>0.86974722027768747</v>
      </c>
      <c r="O14" s="48">
        <f t="shared" si="6"/>
        <v>155.79069035059831</v>
      </c>
      <c r="Q14" s="29" t="s">
        <v>43</v>
      </c>
      <c r="R14" s="29">
        <v>5</v>
      </c>
      <c r="S14" s="29">
        <v>182100.58849769126</v>
      </c>
      <c r="T14" s="29">
        <v>36420.117699538256</v>
      </c>
      <c r="U14" s="29">
        <v>18.935486941395069</v>
      </c>
      <c r="V14" s="29">
        <v>8.1146472992584175E-14</v>
      </c>
    </row>
    <row r="15" spans="2:22" x14ac:dyDescent="0.3">
      <c r="B15" s="9">
        <v>42350</v>
      </c>
      <c r="C15" s="3" t="s">
        <v>8</v>
      </c>
      <c r="D15" s="3" t="s">
        <v>14</v>
      </c>
      <c r="E15" s="3" t="s">
        <v>16</v>
      </c>
      <c r="F15" s="5" t="s">
        <v>13</v>
      </c>
      <c r="G15" s="4">
        <v>117</v>
      </c>
      <c r="H15" s="3">
        <f t="shared" si="0"/>
        <v>0</v>
      </c>
      <c r="I15" s="3">
        <f t="shared" si="1"/>
        <v>1</v>
      </c>
      <c r="J15" s="3">
        <f t="shared" si="2"/>
        <v>0</v>
      </c>
      <c r="K15" s="35">
        <f t="shared" si="3"/>
        <v>0</v>
      </c>
      <c r="L15" s="3">
        <v>12</v>
      </c>
      <c r="M15" s="35">
        <f t="shared" si="4"/>
        <v>164.91137063969938</v>
      </c>
      <c r="N15" s="35">
        <f t="shared" si="5"/>
        <v>0.70947200030022917</v>
      </c>
      <c r="O15" s="48">
        <f t="shared" si="6"/>
        <v>131.97887206299438</v>
      </c>
      <c r="Q15" s="29" t="s">
        <v>44</v>
      </c>
      <c r="R15" s="29">
        <v>119</v>
      </c>
      <c r="S15" s="29">
        <v>228882.09950230864</v>
      </c>
      <c r="T15" s="29">
        <v>1923.3789874143583</v>
      </c>
      <c r="U15" s="29"/>
      <c r="V15" s="29"/>
    </row>
    <row r="16" spans="2:22" ht="15" thickBot="1" x14ac:dyDescent="0.35">
      <c r="B16" s="9">
        <v>42351</v>
      </c>
      <c r="C16" s="3" t="s">
        <v>9</v>
      </c>
      <c r="D16" s="3" t="s">
        <v>26</v>
      </c>
      <c r="E16" s="3" t="s">
        <v>15</v>
      </c>
      <c r="F16" s="5" t="s">
        <v>13</v>
      </c>
      <c r="G16" s="4">
        <v>69</v>
      </c>
      <c r="H16" s="3">
        <f t="shared" si="0"/>
        <v>0</v>
      </c>
      <c r="I16" s="3">
        <f t="shared" si="1"/>
        <v>0</v>
      </c>
      <c r="J16" s="3">
        <f t="shared" si="2"/>
        <v>0</v>
      </c>
      <c r="K16" s="35">
        <f t="shared" si="3"/>
        <v>0</v>
      </c>
      <c r="L16" s="3">
        <v>13</v>
      </c>
      <c r="M16" s="35">
        <f t="shared" si="4"/>
        <v>107.44595589281323</v>
      </c>
      <c r="N16" s="35">
        <f t="shared" si="5"/>
        <v>0.64218331371013682</v>
      </c>
      <c r="O16" s="48">
        <f t="shared" si="6"/>
        <v>66.902717377666008</v>
      </c>
      <c r="Q16" s="30" t="s">
        <v>45</v>
      </c>
      <c r="R16" s="30">
        <v>124</v>
      </c>
      <c r="S16" s="30">
        <v>410982.68799999991</v>
      </c>
      <c r="T16" s="30"/>
      <c r="U16" s="30"/>
      <c r="V16" s="30"/>
    </row>
    <row r="17" spans="2:25" ht="15" thickBot="1" x14ac:dyDescent="0.35">
      <c r="B17" s="9">
        <v>42352</v>
      </c>
      <c r="C17" s="3" t="s">
        <v>10</v>
      </c>
      <c r="D17" s="3" t="s">
        <v>14</v>
      </c>
      <c r="E17" s="3" t="s">
        <v>29</v>
      </c>
      <c r="F17" s="5" t="s">
        <v>13</v>
      </c>
      <c r="G17" s="4">
        <v>185</v>
      </c>
      <c r="H17" s="3">
        <f t="shared" si="0"/>
        <v>1</v>
      </c>
      <c r="I17" s="3">
        <f t="shared" si="1"/>
        <v>0</v>
      </c>
      <c r="J17" s="3">
        <f t="shared" si="2"/>
        <v>0</v>
      </c>
      <c r="K17" s="35">
        <f t="shared" si="3"/>
        <v>0</v>
      </c>
      <c r="L17" s="3">
        <v>14</v>
      </c>
      <c r="M17" s="35">
        <f t="shared" si="4"/>
        <v>206.60558150639423</v>
      </c>
      <c r="N17" s="35">
        <f t="shared" si="5"/>
        <v>0.89542595437710593</v>
      </c>
      <c r="O17" s="48">
        <f t="shared" si="6"/>
        <v>222.88554807328913</v>
      </c>
    </row>
    <row r="18" spans="2:25" x14ac:dyDescent="0.3">
      <c r="B18" s="9">
        <v>42353</v>
      </c>
      <c r="C18" s="3" t="s">
        <v>4</v>
      </c>
      <c r="D18" s="3" t="s">
        <v>26</v>
      </c>
      <c r="E18" s="3" t="s">
        <v>15</v>
      </c>
      <c r="F18" s="5" t="s">
        <v>13</v>
      </c>
      <c r="G18" s="4">
        <v>130</v>
      </c>
      <c r="H18" s="3">
        <f t="shared" si="0"/>
        <v>0</v>
      </c>
      <c r="I18" s="3">
        <f t="shared" si="1"/>
        <v>0</v>
      </c>
      <c r="J18" s="3">
        <f t="shared" si="2"/>
        <v>0</v>
      </c>
      <c r="K18" s="35">
        <f t="shared" si="3"/>
        <v>0</v>
      </c>
      <c r="L18" s="3">
        <v>15</v>
      </c>
      <c r="M18" s="35">
        <f t="shared" si="4"/>
        <v>108.43752262854665</v>
      </c>
      <c r="N18" s="35">
        <f t="shared" si="5"/>
        <v>1.1988470120745542</v>
      </c>
      <c r="O18" s="48">
        <f t="shared" si="6"/>
        <v>128.31069818577515</v>
      </c>
      <c r="Q18" s="31"/>
      <c r="R18" s="31" t="s">
        <v>52</v>
      </c>
      <c r="S18" s="31" t="s">
        <v>40</v>
      </c>
      <c r="T18" s="31" t="s">
        <v>53</v>
      </c>
      <c r="U18" s="31" t="s">
        <v>54</v>
      </c>
      <c r="V18" s="31" t="s">
        <v>55</v>
      </c>
      <c r="W18" s="31" t="s">
        <v>56</v>
      </c>
      <c r="X18" s="31" t="s">
        <v>86</v>
      </c>
      <c r="Y18" s="31" t="s">
        <v>87</v>
      </c>
    </row>
    <row r="19" spans="2:25" x14ac:dyDescent="0.3">
      <c r="B19" s="9">
        <v>42354</v>
      </c>
      <c r="C19" s="3" t="s">
        <v>5</v>
      </c>
      <c r="D19" s="3" t="s">
        <v>11</v>
      </c>
      <c r="E19" s="3" t="s">
        <v>15</v>
      </c>
      <c r="F19" s="5" t="s">
        <v>13</v>
      </c>
      <c r="G19" s="4">
        <v>168</v>
      </c>
      <c r="H19" s="3">
        <f t="shared" si="0"/>
        <v>0</v>
      </c>
      <c r="I19" s="3">
        <f t="shared" si="1"/>
        <v>0</v>
      </c>
      <c r="J19" s="3">
        <f t="shared" si="2"/>
        <v>1</v>
      </c>
      <c r="K19" s="35">
        <f t="shared" si="3"/>
        <v>0</v>
      </c>
      <c r="L19" s="3">
        <v>16</v>
      </c>
      <c r="M19" s="35">
        <f t="shared" si="4"/>
        <v>129.03257737005791</v>
      </c>
      <c r="N19" s="35">
        <f t="shared" si="5"/>
        <v>1.3019967780554038</v>
      </c>
      <c r="O19" s="48">
        <f t="shared" si="6"/>
        <v>167.40043747895965</v>
      </c>
      <c r="Q19" s="29" t="s">
        <v>46</v>
      </c>
      <c r="R19" s="29">
        <v>101.00077211054597</v>
      </c>
      <c r="S19" s="29">
        <v>10.669065484436691</v>
      </c>
      <c r="T19" s="29">
        <v>9.4666934285743238</v>
      </c>
      <c r="U19" s="29">
        <v>3.4329406763612319E-16</v>
      </c>
      <c r="V19" s="29">
        <v>79.87495686290184</v>
      </c>
      <c r="W19" s="29">
        <v>122.12658735819009</v>
      </c>
      <c r="X19" s="29">
        <v>79.87495686290184</v>
      </c>
      <c r="Y19" s="29">
        <v>122.12658735819009</v>
      </c>
    </row>
    <row r="20" spans="2:25" x14ac:dyDescent="0.3">
      <c r="B20" s="9">
        <v>42355</v>
      </c>
      <c r="C20" s="3" t="s">
        <v>6</v>
      </c>
      <c r="D20" s="3" t="s">
        <v>14</v>
      </c>
      <c r="E20" s="3" t="s">
        <v>29</v>
      </c>
      <c r="F20" s="5" t="s">
        <v>13</v>
      </c>
      <c r="G20" s="4">
        <v>223</v>
      </c>
      <c r="H20" s="3">
        <f t="shared" si="0"/>
        <v>1</v>
      </c>
      <c r="I20" s="3">
        <f t="shared" si="1"/>
        <v>0</v>
      </c>
      <c r="J20" s="3">
        <f t="shared" si="2"/>
        <v>0</v>
      </c>
      <c r="K20" s="35">
        <f t="shared" si="3"/>
        <v>0</v>
      </c>
      <c r="L20" s="3">
        <v>17</v>
      </c>
      <c r="M20" s="35">
        <f t="shared" si="4"/>
        <v>208.09293160999439</v>
      </c>
      <c r="N20" s="35">
        <f t="shared" si="5"/>
        <v>1.071636591760571</v>
      </c>
      <c r="O20" s="48">
        <f t="shared" si="6"/>
        <v>228.52946156134377</v>
      </c>
      <c r="Q20" s="29" t="s">
        <v>32</v>
      </c>
      <c r="R20" s="29">
        <v>98.663842245714307</v>
      </c>
      <c r="S20" s="29">
        <v>13.391086446772748</v>
      </c>
      <c r="T20" s="29">
        <v>7.3678743422265258</v>
      </c>
      <c r="U20" s="29">
        <v>2.4913161645513371E-11</v>
      </c>
      <c r="V20" s="29">
        <v>72.148153626835352</v>
      </c>
      <c r="W20" s="29">
        <v>125.17953086459326</v>
      </c>
      <c r="X20" s="29">
        <v>72.148153626835352</v>
      </c>
      <c r="Y20" s="29">
        <v>125.17953086459326</v>
      </c>
    </row>
    <row r="21" spans="2:25" x14ac:dyDescent="0.3">
      <c r="B21" s="9">
        <v>42356</v>
      </c>
      <c r="C21" s="3" t="s">
        <v>7</v>
      </c>
      <c r="D21" s="3" t="s">
        <v>11</v>
      </c>
      <c r="E21" s="3" t="s">
        <v>15</v>
      </c>
      <c r="F21" s="5" t="s">
        <v>13</v>
      </c>
      <c r="G21" s="4">
        <v>127</v>
      </c>
      <c r="H21" s="3">
        <f t="shared" si="0"/>
        <v>0</v>
      </c>
      <c r="I21" s="3">
        <f t="shared" si="1"/>
        <v>0</v>
      </c>
      <c r="J21" s="3">
        <f t="shared" si="2"/>
        <v>1</v>
      </c>
      <c r="K21" s="35">
        <f t="shared" si="3"/>
        <v>0</v>
      </c>
      <c r="L21" s="3">
        <v>18</v>
      </c>
      <c r="M21" s="35">
        <f t="shared" si="4"/>
        <v>130.02414410579132</v>
      </c>
      <c r="N21" s="35">
        <f t="shared" si="5"/>
        <v>0.97674167265941936</v>
      </c>
      <c r="O21" s="48">
        <f t="shared" si="6"/>
        <v>123.20335017260994</v>
      </c>
      <c r="Q21" s="29" t="s">
        <v>16</v>
      </c>
      <c r="R21" s="29">
        <v>57.961198114752868</v>
      </c>
      <c r="S21" s="29">
        <v>10.821808106070565</v>
      </c>
      <c r="T21" s="29">
        <v>5.3559624737976224</v>
      </c>
      <c r="U21" s="29">
        <v>4.2128650133264736E-7</v>
      </c>
      <c r="V21" s="29">
        <v>36.532937220881806</v>
      </c>
      <c r="W21" s="29">
        <v>79.38945900862393</v>
      </c>
      <c r="X21" s="29">
        <v>36.532937220881806</v>
      </c>
      <c r="Y21" s="29">
        <v>79.38945900862393</v>
      </c>
    </row>
    <row r="22" spans="2:25" x14ac:dyDescent="0.3">
      <c r="B22" s="9">
        <v>42357</v>
      </c>
      <c r="C22" s="3" t="s">
        <v>8</v>
      </c>
      <c r="D22" s="3" t="s">
        <v>11</v>
      </c>
      <c r="E22" s="3" t="s">
        <v>12</v>
      </c>
      <c r="F22" s="5" t="s">
        <v>13</v>
      </c>
      <c r="G22" s="4">
        <v>95</v>
      </c>
      <c r="H22" s="3">
        <f t="shared" si="0"/>
        <v>0</v>
      </c>
      <c r="I22" s="3">
        <f t="shared" si="1"/>
        <v>0</v>
      </c>
      <c r="J22" s="3">
        <f t="shared" si="2"/>
        <v>1</v>
      </c>
      <c r="K22" s="35">
        <f t="shared" si="3"/>
        <v>0</v>
      </c>
      <c r="L22" s="3">
        <v>19</v>
      </c>
      <c r="M22" s="35">
        <f t="shared" si="4"/>
        <v>130.51992747365804</v>
      </c>
      <c r="N22" s="35">
        <f t="shared" si="5"/>
        <v>0.72785820402155221</v>
      </c>
      <c r="O22" s="48">
        <f t="shared" si="6"/>
        <v>104.45533708741371</v>
      </c>
      <c r="Q22" s="29" t="s">
        <v>11</v>
      </c>
      <c r="R22" s="29">
        <v>20.099271373644548</v>
      </c>
      <c r="S22" s="29">
        <v>8.321927291561531</v>
      </c>
      <c r="T22" s="29">
        <v>2.4152183345828186</v>
      </c>
      <c r="U22" s="29">
        <v>1.7247292884627469E-2</v>
      </c>
      <c r="V22" s="29">
        <v>3.6210241717399008</v>
      </c>
      <c r="W22" s="29">
        <v>36.577518575549192</v>
      </c>
      <c r="X22" s="29">
        <v>3.6210241717399008</v>
      </c>
      <c r="Y22" s="29">
        <v>36.577518575549192</v>
      </c>
    </row>
    <row r="23" spans="2:25" x14ac:dyDescent="0.3">
      <c r="B23" s="9">
        <v>42358</v>
      </c>
      <c r="C23" s="3" t="s">
        <v>9</v>
      </c>
      <c r="D23" s="3" t="s">
        <v>11</v>
      </c>
      <c r="E23" s="3" t="s">
        <v>12</v>
      </c>
      <c r="F23" s="5" t="s">
        <v>13</v>
      </c>
      <c r="G23" s="4">
        <v>74</v>
      </c>
      <c r="H23" s="3">
        <f t="shared" si="0"/>
        <v>0</v>
      </c>
      <c r="I23" s="3">
        <f t="shared" si="1"/>
        <v>0</v>
      </c>
      <c r="J23" s="3">
        <f t="shared" si="2"/>
        <v>1</v>
      </c>
      <c r="K23" s="35">
        <f t="shared" si="3"/>
        <v>0</v>
      </c>
      <c r="L23" s="3">
        <v>20</v>
      </c>
      <c r="M23" s="35">
        <f t="shared" si="4"/>
        <v>131.01571084152476</v>
      </c>
      <c r="N23" s="35">
        <f t="shared" si="5"/>
        <v>0.5648177575398543</v>
      </c>
      <c r="O23" s="48">
        <f t="shared" si="6"/>
        <v>81.578752793718039</v>
      </c>
      <c r="Q23" s="29" t="s">
        <v>33</v>
      </c>
      <c r="R23" s="29">
        <v>-76.713594649393471</v>
      </c>
      <c r="S23" s="29">
        <v>14.195696536679304</v>
      </c>
      <c r="T23" s="29">
        <v>-5.4040035620075697</v>
      </c>
      <c r="U23" s="29">
        <v>3.3993737566507298E-7</v>
      </c>
      <c r="V23" s="29">
        <v>-104.8224916078924</v>
      </c>
      <c r="W23" s="29">
        <v>-48.604697690894533</v>
      </c>
      <c r="X23" s="29">
        <v>-104.8224916078924</v>
      </c>
      <c r="Y23" s="29">
        <v>-48.604697690894533</v>
      </c>
    </row>
    <row r="24" spans="2:25" ht="15" thickBot="1" x14ac:dyDescent="0.35">
      <c r="B24" s="9">
        <v>42359</v>
      </c>
      <c r="C24" s="3" t="s">
        <v>10</v>
      </c>
      <c r="D24" s="3" t="s">
        <v>14</v>
      </c>
      <c r="E24" s="3" t="s">
        <v>15</v>
      </c>
      <c r="F24" s="5" t="s">
        <v>13</v>
      </c>
      <c r="G24" s="4">
        <v>126</v>
      </c>
      <c r="H24" s="3">
        <f t="shared" si="0"/>
        <v>0</v>
      </c>
      <c r="I24" s="3">
        <f t="shared" si="1"/>
        <v>0</v>
      </c>
      <c r="J24" s="3">
        <f t="shared" si="2"/>
        <v>0</v>
      </c>
      <c r="K24" s="35">
        <f t="shared" si="3"/>
        <v>0</v>
      </c>
      <c r="L24" s="3">
        <v>21</v>
      </c>
      <c r="M24" s="35">
        <f t="shared" si="4"/>
        <v>111.41222283574692</v>
      </c>
      <c r="N24" s="35">
        <f t="shared" si="5"/>
        <v>1.1309351594731181</v>
      </c>
      <c r="O24" s="48">
        <f t="shared" si="6"/>
        <v>120.19120765157228</v>
      </c>
      <c r="Q24" s="30" t="s">
        <v>34</v>
      </c>
      <c r="R24" s="30">
        <v>0.49578336786671229</v>
      </c>
      <c r="S24" s="30">
        <v>0.11191697560222411</v>
      </c>
      <c r="T24" s="30">
        <v>4.4299210660304844</v>
      </c>
      <c r="U24" s="30">
        <v>2.1077717301333272E-5</v>
      </c>
      <c r="V24" s="30">
        <v>0.27417657830331366</v>
      </c>
      <c r="W24" s="30">
        <v>0.71739015743011092</v>
      </c>
      <c r="X24" s="30">
        <v>0.27417657830331366</v>
      </c>
      <c r="Y24" s="30">
        <v>0.71739015743011092</v>
      </c>
    </row>
    <row r="25" spans="2:25" x14ac:dyDescent="0.3">
      <c r="B25" s="9">
        <v>42360</v>
      </c>
      <c r="C25" s="3" t="s">
        <v>4</v>
      </c>
      <c r="D25" s="3" t="s">
        <v>14</v>
      </c>
      <c r="E25" s="3" t="s">
        <v>16</v>
      </c>
      <c r="F25" s="5" t="s">
        <v>13</v>
      </c>
      <c r="G25" s="4">
        <v>200</v>
      </c>
      <c r="H25" s="3">
        <f t="shared" si="0"/>
        <v>0</v>
      </c>
      <c r="I25" s="3">
        <f t="shared" si="1"/>
        <v>1</v>
      </c>
      <c r="J25" s="3">
        <f t="shared" si="2"/>
        <v>0</v>
      </c>
      <c r="K25" s="35">
        <f t="shared" si="3"/>
        <v>0</v>
      </c>
      <c r="L25" s="3">
        <v>22</v>
      </c>
      <c r="M25" s="35">
        <f t="shared" si="4"/>
        <v>169.86920431836651</v>
      </c>
      <c r="N25" s="35">
        <f t="shared" si="5"/>
        <v>1.1773764456161386</v>
      </c>
      <c r="O25" s="48">
        <f t="shared" si="6"/>
        <v>201.00086831579642</v>
      </c>
    </row>
    <row r="26" spans="2:25" x14ac:dyDescent="0.3">
      <c r="B26" s="9">
        <v>42361</v>
      </c>
      <c r="C26" s="3" t="s">
        <v>5</v>
      </c>
      <c r="D26" s="3" t="s">
        <v>14</v>
      </c>
      <c r="E26" s="3" t="s">
        <v>29</v>
      </c>
      <c r="F26" s="5" t="s">
        <v>13</v>
      </c>
      <c r="G26" s="4">
        <v>247</v>
      </c>
      <c r="H26" s="3">
        <f t="shared" si="0"/>
        <v>1</v>
      </c>
      <c r="I26" s="3">
        <f t="shared" si="1"/>
        <v>0</v>
      </c>
      <c r="J26" s="3">
        <f t="shared" si="2"/>
        <v>0</v>
      </c>
      <c r="K26" s="35">
        <f t="shared" si="3"/>
        <v>0</v>
      </c>
      <c r="L26" s="3">
        <v>23</v>
      </c>
      <c r="M26" s="35">
        <f t="shared" si="4"/>
        <v>211.06763181719467</v>
      </c>
      <c r="N26" s="35">
        <f t="shared" si="5"/>
        <v>1.1702410164620898</v>
      </c>
      <c r="O26" s="48">
        <f t="shared" si="6"/>
        <v>273.82863013356638</v>
      </c>
    </row>
    <row r="27" spans="2:25" x14ac:dyDescent="0.3">
      <c r="B27" s="9">
        <v>42362</v>
      </c>
      <c r="C27" s="3" t="s">
        <v>6</v>
      </c>
      <c r="D27" s="3" t="s">
        <v>26</v>
      </c>
      <c r="E27" s="3" t="s">
        <v>29</v>
      </c>
      <c r="F27" s="5" t="s">
        <v>13</v>
      </c>
      <c r="G27" s="4">
        <v>204</v>
      </c>
      <c r="H27" s="3">
        <f t="shared" si="0"/>
        <v>1</v>
      </c>
      <c r="I27" s="3">
        <f t="shared" si="1"/>
        <v>0</v>
      </c>
      <c r="J27" s="3">
        <f t="shared" si="2"/>
        <v>0</v>
      </c>
      <c r="K27" s="35">
        <f t="shared" si="3"/>
        <v>0</v>
      </c>
      <c r="L27" s="3">
        <v>24</v>
      </c>
      <c r="M27" s="35">
        <f t="shared" si="4"/>
        <v>211.56341518506136</v>
      </c>
      <c r="N27" s="35">
        <f t="shared" si="5"/>
        <v>0.96424989084977009</v>
      </c>
      <c r="O27" s="48">
        <f t="shared" si="6"/>
        <v>232.34077671093266</v>
      </c>
    </row>
    <row r="28" spans="2:25" x14ac:dyDescent="0.3">
      <c r="B28" s="9">
        <v>42363</v>
      </c>
      <c r="C28" s="3" t="s">
        <v>7</v>
      </c>
      <c r="D28" s="3" t="s">
        <v>26</v>
      </c>
      <c r="E28" s="3" t="s">
        <v>16</v>
      </c>
      <c r="F28" s="5" t="s">
        <v>30</v>
      </c>
      <c r="G28" s="4">
        <v>91</v>
      </c>
      <c r="H28" s="3">
        <f t="shared" si="0"/>
        <v>0</v>
      </c>
      <c r="I28" s="3">
        <f t="shared" si="1"/>
        <v>1</v>
      </c>
      <c r="J28" s="3">
        <f t="shared" si="2"/>
        <v>0</v>
      </c>
      <c r="K28" s="35">
        <f t="shared" si="3"/>
        <v>1</v>
      </c>
      <c r="L28" s="3">
        <v>25</v>
      </c>
      <c r="M28" s="35">
        <f t="shared" si="4"/>
        <v>94.642959772573178</v>
      </c>
      <c r="N28" s="35">
        <f t="shared" si="5"/>
        <v>0.96150839131270616</v>
      </c>
      <c r="O28" s="48">
        <f t="shared" si="6"/>
        <v>89.678188573542116</v>
      </c>
      <c r="Q28" s="33"/>
    </row>
    <row r="29" spans="2:25" ht="15" thickBot="1" x14ac:dyDescent="0.35">
      <c r="B29" s="9">
        <v>42364</v>
      </c>
      <c r="C29" s="3" t="s">
        <v>8</v>
      </c>
      <c r="D29" s="3" t="s">
        <v>14</v>
      </c>
      <c r="E29" s="3" t="s">
        <v>15</v>
      </c>
      <c r="F29" s="5" t="s">
        <v>13</v>
      </c>
      <c r="G29" s="4">
        <v>93</v>
      </c>
      <c r="H29" s="3">
        <f t="shared" si="0"/>
        <v>0</v>
      </c>
      <c r="I29" s="3">
        <f t="shared" si="1"/>
        <v>0</v>
      </c>
      <c r="J29" s="3">
        <f t="shared" si="2"/>
        <v>0</v>
      </c>
      <c r="K29" s="35">
        <f t="shared" si="3"/>
        <v>0</v>
      </c>
      <c r="L29" s="3">
        <v>26</v>
      </c>
      <c r="M29" s="35">
        <f t="shared" si="4"/>
        <v>113.89113967508048</v>
      </c>
      <c r="N29" s="35">
        <f t="shared" si="5"/>
        <v>0.81656922799542864</v>
      </c>
      <c r="O29" s="48">
        <f t="shared" si="6"/>
        <v>91.147287746012935</v>
      </c>
      <c r="Q29" s="34" t="s">
        <v>65</v>
      </c>
      <c r="R29" s="34" t="s">
        <v>64</v>
      </c>
      <c r="T29" s="39" t="s">
        <v>71</v>
      </c>
      <c r="U29" s="39" t="s">
        <v>72</v>
      </c>
    </row>
    <row r="30" spans="2:25" x14ac:dyDescent="0.3">
      <c r="B30" s="9">
        <v>42365</v>
      </c>
      <c r="C30" s="3" t="s">
        <v>9</v>
      </c>
      <c r="D30" s="3" t="s">
        <v>14</v>
      </c>
      <c r="E30" s="3" t="s">
        <v>29</v>
      </c>
      <c r="F30" s="5" t="s">
        <v>13</v>
      </c>
      <c r="G30" s="4">
        <v>104</v>
      </c>
      <c r="H30" s="3">
        <f t="shared" si="0"/>
        <v>1</v>
      </c>
      <c r="I30" s="3">
        <f t="shared" si="1"/>
        <v>0</v>
      </c>
      <c r="J30" s="3">
        <f t="shared" si="2"/>
        <v>0</v>
      </c>
      <c r="K30" s="35">
        <f t="shared" si="3"/>
        <v>0</v>
      </c>
      <c r="L30" s="3">
        <v>27</v>
      </c>
      <c r="M30" s="35">
        <f t="shared" si="4"/>
        <v>213.05076528866149</v>
      </c>
      <c r="N30" s="35">
        <f t="shared" si="5"/>
        <v>0.48814656853774208</v>
      </c>
      <c r="O30" s="48">
        <f t="shared" si="6"/>
        <v>132.65901930661835</v>
      </c>
      <c r="Q30" s="3" t="s">
        <v>4</v>
      </c>
      <c r="R30" s="35">
        <f>SUMIF($C$4:$C$128,$Q$30,$N$4:$N$128)/COUNTIF($C$4:$C$128,$Q$30)</f>
        <v>1.1832684395170496</v>
      </c>
      <c r="T30" s="40" t="s">
        <v>59</v>
      </c>
      <c r="U30" s="41">
        <f>SUMXMY2($G$4:$G$128,$M$4:$M$128)/COUNT($G$4:$G$128)</f>
        <v>1831.0567960184685</v>
      </c>
    </row>
    <row r="31" spans="2:25" ht="15" thickBot="1" x14ac:dyDescent="0.35">
      <c r="B31" s="9">
        <v>42366</v>
      </c>
      <c r="C31" s="3" t="s">
        <v>10</v>
      </c>
      <c r="D31" s="3" t="s">
        <v>11</v>
      </c>
      <c r="E31" s="3" t="s">
        <v>15</v>
      </c>
      <c r="F31" s="5" t="s">
        <v>13</v>
      </c>
      <c r="G31" s="4">
        <v>146</v>
      </c>
      <c r="H31" s="3">
        <f t="shared" si="0"/>
        <v>0</v>
      </c>
      <c r="I31" s="3">
        <f t="shared" si="1"/>
        <v>0</v>
      </c>
      <c r="J31" s="3">
        <f t="shared" si="2"/>
        <v>1</v>
      </c>
      <c r="K31" s="35">
        <f t="shared" si="3"/>
        <v>0</v>
      </c>
      <c r="L31" s="3">
        <v>28</v>
      </c>
      <c r="M31" s="35">
        <f t="shared" si="4"/>
        <v>134.98197778445845</v>
      </c>
      <c r="N31" s="35">
        <f t="shared" si="5"/>
        <v>1.0816258762568682</v>
      </c>
      <c r="O31" s="48">
        <f t="shared" si="6"/>
        <v>145.61819617431024</v>
      </c>
      <c r="Q31" s="3" t="s">
        <v>5</v>
      </c>
      <c r="R31" s="35">
        <f>SUMIF($C$4:$C$128,$Q$31,$N$4:$N$128)/COUNTIF($C$4:$C$128,$Q$31)</f>
        <v>1.297350180015896</v>
      </c>
      <c r="T31" s="42" t="s">
        <v>67</v>
      </c>
      <c r="U31" s="43">
        <f>SUMXMY2($G$4:$G$128,$O$4:$O$128)/COUNT($G$4:$G$128)</f>
        <v>512.10363827352046</v>
      </c>
    </row>
    <row r="32" spans="2:25" x14ac:dyDescent="0.3">
      <c r="B32" s="9">
        <v>42367</v>
      </c>
      <c r="C32" s="3" t="s">
        <v>4</v>
      </c>
      <c r="D32" s="3" t="s">
        <v>11</v>
      </c>
      <c r="E32" s="3" t="s">
        <v>29</v>
      </c>
      <c r="F32" s="5" t="s">
        <v>13</v>
      </c>
      <c r="G32" s="4">
        <v>270</v>
      </c>
      <c r="H32" s="3">
        <f t="shared" si="0"/>
        <v>1</v>
      </c>
      <c r="I32" s="3">
        <f t="shared" si="1"/>
        <v>0</v>
      </c>
      <c r="J32" s="3">
        <f t="shared" si="2"/>
        <v>1</v>
      </c>
      <c r="K32" s="35">
        <f t="shared" si="3"/>
        <v>0</v>
      </c>
      <c r="L32" s="3">
        <v>29</v>
      </c>
      <c r="M32" s="35">
        <f t="shared" si="4"/>
        <v>234.14160339803948</v>
      </c>
      <c r="N32" s="35">
        <f t="shared" si="5"/>
        <v>1.1531483345187545</v>
      </c>
      <c r="O32" s="48">
        <f t="shared" si="6"/>
        <v>277.05236967881808</v>
      </c>
      <c r="Q32" s="3" t="s">
        <v>6</v>
      </c>
      <c r="R32" s="35">
        <f>SUMIF($C$4:$C$128,$Q$32,$N$4:$N$128)/COUNTIF($C$4:$C$128,$Q$32)</f>
        <v>1.0982086695268021</v>
      </c>
    </row>
    <row r="33" spans="2:20" x14ac:dyDescent="0.3">
      <c r="B33" s="9">
        <v>42368</v>
      </c>
      <c r="C33" s="3" t="s">
        <v>5</v>
      </c>
      <c r="D33" s="3" t="s">
        <v>11</v>
      </c>
      <c r="E33" s="3" t="s">
        <v>16</v>
      </c>
      <c r="F33" s="5" t="s">
        <v>13</v>
      </c>
      <c r="G33" s="4">
        <v>259</v>
      </c>
      <c r="H33" s="3">
        <f t="shared" si="0"/>
        <v>0</v>
      </c>
      <c r="I33" s="3">
        <f t="shared" si="1"/>
        <v>1</v>
      </c>
      <c r="J33" s="3">
        <f t="shared" si="2"/>
        <v>1</v>
      </c>
      <c r="K33" s="35">
        <f t="shared" si="3"/>
        <v>0</v>
      </c>
      <c r="L33" s="3">
        <v>30</v>
      </c>
      <c r="M33" s="35">
        <f t="shared" si="4"/>
        <v>193.93474263494474</v>
      </c>
      <c r="N33" s="35">
        <f t="shared" si="5"/>
        <v>1.33550077970058</v>
      </c>
      <c r="O33" s="48">
        <f t="shared" si="6"/>
        <v>251.60127326878202</v>
      </c>
      <c r="Q33" s="3" t="s">
        <v>7</v>
      </c>
      <c r="R33" s="35">
        <f>SUMIF($C$4:$C$128,$Q$33,$N$4:$N$128)/COUNTIF($C$4:$C$128,$Q$33)</f>
        <v>0.94754209704597792</v>
      </c>
      <c r="T33" s="57"/>
    </row>
    <row r="34" spans="2:20" x14ac:dyDescent="0.3">
      <c r="B34" s="9">
        <v>42369</v>
      </c>
      <c r="C34" s="3" t="s">
        <v>6</v>
      </c>
      <c r="D34" s="3" t="s">
        <v>11</v>
      </c>
      <c r="E34" s="3" t="s">
        <v>29</v>
      </c>
      <c r="F34" s="5" t="s">
        <v>30</v>
      </c>
      <c r="G34" s="4">
        <v>143</v>
      </c>
      <c r="H34" s="3">
        <f t="shared" si="0"/>
        <v>1</v>
      </c>
      <c r="I34" s="3">
        <f t="shared" si="1"/>
        <v>0</v>
      </c>
      <c r="J34" s="3">
        <f t="shared" si="2"/>
        <v>1</v>
      </c>
      <c r="K34" s="35">
        <f t="shared" si="3"/>
        <v>1</v>
      </c>
      <c r="L34" s="3">
        <v>31</v>
      </c>
      <c r="M34" s="35">
        <f t="shared" si="4"/>
        <v>158.41957548437941</v>
      </c>
      <c r="N34" s="35">
        <f t="shared" si="5"/>
        <v>0.90266622393581775</v>
      </c>
      <c r="O34" s="48">
        <f t="shared" si="6"/>
        <v>173.9777512197011</v>
      </c>
      <c r="Q34" s="3" t="s">
        <v>8</v>
      </c>
      <c r="R34" s="35">
        <f>SUMIF($C$4:$C$128,$Q$34,$N$4:$N$128)/COUNTIF($C$4:$C$128,$Q$34)</f>
        <v>0.800301832135903</v>
      </c>
      <c r="T34" s="57"/>
    </row>
    <row r="35" spans="2:20" x14ac:dyDescent="0.3">
      <c r="B35" s="9">
        <v>42370</v>
      </c>
      <c r="C35" s="3" t="s">
        <v>7</v>
      </c>
      <c r="D35" s="3" t="s">
        <v>11</v>
      </c>
      <c r="E35" s="3" t="s">
        <v>15</v>
      </c>
      <c r="F35" s="5" t="s">
        <v>30</v>
      </c>
      <c r="G35" s="4">
        <v>87</v>
      </c>
      <c r="H35" s="3">
        <f t="shared" si="0"/>
        <v>0</v>
      </c>
      <c r="I35" s="3">
        <f t="shared" si="1"/>
        <v>0</v>
      </c>
      <c r="J35" s="3">
        <f t="shared" si="2"/>
        <v>1</v>
      </c>
      <c r="K35" s="35">
        <f t="shared" si="3"/>
        <v>1</v>
      </c>
      <c r="L35" s="3">
        <v>32</v>
      </c>
      <c r="M35" s="35">
        <f t="shared" si="4"/>
        <v>60.25151660653183</v>
      </c>
      <c r="N35" s="35">
        <f t="shared" si="5"/>
        <v>1.4439470556093585</v>
      </c>
      <c r="O35" s="48">
        <f t="shared" si="6"/>
        <v>57.090848395553735</v>
      </c>
      <c r="Q35" s="3" t="s">
        <v>9</v>
      </c>
      <c r="R35" s="35">
        <f>SUMIF($C$4:$C$128,$Q$35,$N$4:$N$128)/COUNTIF($C$4:$C$128,$Q$35)</f>
        <v>0.62266389480872908</v>
      </c>
      <c r="T35" s="57"/>
    </row>
    <row r="36" spans="2:20" x14ac:dyDescent="0.3">
      <c r="B36" s="9">
        <v>42371</v>
      </c>
      <c r="C36" s="3" t="s">
        <v>8</v>
      </c>
      <c r="D36" s="3" t="s">
        <v>11</v>
      </c>
      <c r="E36" s="3" t="s">
        <v>12</v>
      </c>
      <c r="F36" s="5" t="s">
        <v>13</v>
      </c>
      <c r="G36" s="4">
        <v>102</v>
      </c>
      <c r="H36" s="3">
        <f t="shared" ref="H36:H67" si="7">IF(E36=$H$3,1,0)</f>
        <v>0</v>
      </c>
      <c r="I36" s="3">
        <f t="shared" ref="I36:I67" si="8">IF(E36=$I$3,1,0)</f>
        <v>0</v>
      </c>
      <c r="J36" s="3">
        <f t="shared" ref="J36:J67" si="9">IF(D36=J$3,1,0)</f>
        <v>1</v>
      </c>
      <c r="K36" s="35">
        <f t="shared" ref="K36:K67" si="10">IF(F36="Yes",1,0)</f>
        <v>0</v>
      </c>
      <c r="L36" s="3">
        <v>33</v>
      </c>
      <c r="M36" s="35">
        <f t="shared" si="4"/>
        <v>137.460894623792</v>
      </c>
      <c r="N36" s="35">
        <f t="shared" si="5"/>
        <v>0.74202921695771973</v>
      </c>
      <c r="O36" s="48">
        <f t="shared" si="6"/>
        <v>110.01020581446103</v>
      </c>
      <c r="Q36" s="3" t="s">
        <v>10</v>
      </c>
      <c r="R36" s="35">
        <f>SUMIF($C$4:$C$128,$Q$36,$N$4:$N$128)/COUNTIF($C$4:$C$128,$Q$36)</f>
        <v>1.0787973221642662</v>
      </c>
      <c r="T36" s="57"/>
    </row>
    <row r="37" spans="2:20" x14ac:dyDescent="0.3">
      <c r="B37" s="9">
        <v>42372</v>
      </c>
      <c r="C37" s="3" t="s">
        <v>9</v>
      </c>
      <c r="D37" s="3" t="s">
        <v>11</v>
      </c>
      <c r="E37" s="3" t="s">
        <v>15</v>
      </c>
      <c r="F37" s="5" t="s">
        <v>13</v>
      </c>
      <c r="G37" s="4">
        <v>81</v>
      </c>
      <c r="H37" s="3">
        <f t="shared" si="7"/>
        <v>0</v>
      </c>
      <c r="I37" s="3">
        <f t="shared" si="8"/>
        <v>0</v>
      </c>
      <c r="J37" s="3">
        <f t="shared" si="9"/>
        <v>1</v>
      </c>
      <c r="K37" s="35">
        <f t="shared" si="10"/>
        <v>0</v>
      </c>
      <c r="L37" s="3">
        <v>34</v>
      </c>
      <c r="M37" s="35">
        <f t="shared" si="4"/>
        <v>137.95667799165872</v>
      </c>
      <c r="N37" s="35">
        <f t="shared" si="5"/>
        <v>0.58714084145239787</v>
      </c>
      <c r="O37" s="48">
        <f t="shared" si="6"/>
        <v>85.900642433159902</v>
      </c>
    </row>
    <row r="38" spans="2:20" x14ac:dyDescent="0.3">
      <c r="B38" s="9">
        <v>42373</v>
      </c>
      <c r="C38" s="3" t="s">
        <v>10</v>
      </c>
      <c r="D38" s="3" t="s">
        <v>11</v>
      </c>
      <c r="E38" s="3" t="s">
        <v>15</v>
      </c>
      <c r="F38" s="5" t="s">
        <v>13</v>
      </c>
      <c r="G38" s="4">
        <v>149</v>
      </c>
      <c r="H38" s="3">
        <f t="shared" si="7"/>
        <v>0</v>
      </c>
      <c r="I38" s="3">
        <f t="shared" si="8"/>
        <v>0</v>
      </c>
      <c r="J38" s="3">
        <f t="shared" si="9"/>
        <v>1</v>
      </c>
      <c r="K38" s="35">
        <f t="shared" si="10"/>
        <v>0</v>
      </c>
      <c r="L38" s="3">
        <v>35</v>
      </c>
      <c r="M38" s="35">
        <f t="shared" si="4"/>
        <v>138.45246135952544</v>
      </c>
      <c r="N38" s="35">
        <f t="shared" si="5"/>
        <v>1.0761816621886215</v>
      </c>
      <c r="O38" s="48">
        <f t="shared" si="6"/>
        <v>149.36214456170759</v>
      </c>
      <c r="S38">
        <v>1</v>
      </c>
      <c r="T38" s="33" t="str">
        <f>_xlfn.CONCAT("Significance of F value is ",IF(V14&lt;0.05,"less","greater")," than 0.05 which means model is ",IF(V14&lt;0.05,"good fit","not good fit"))</f>
        <v>Significance of F value is less than 0.05 which means model is good fit</v>
      </c>
    </row>
    <row r="39" spans="2:20" x14ac:dyDescent="0.3">
      <c r="B39" s="9">
        <v>42374</v>
      </c>
      <c r="C39" s="3" t="s">
        <v>4</v>
      </c>
      <c r="D39" s="3" t="s">
        <v>11</v>
      </c>
      <c r="E39" s="3" t="s">
        <v>12</v>
      </c>
      <c r="F39" s="5" t="s">
        <v>13</v>
      </c>
      <c r="G39" s="4">
        <v>154</v>
      </c>
      <c r="H39" s="3">
        <f t="shared" si="7"/>
        <v>0</v>
      </c>
      <c r="I39" s="3">
        <f t="shared" si="8"/>
        <v>0</v>
      </c>
      <c r="J39" s="3">
        <f t="shared" si="9"/>
        <v>1</v>
      </c>
      <c r="K39" s="35">
        <f t="shared" si="10"/>
        <v>0</v>
      </c>
      <c r="L39" s="3">
        <v>36</v>
      </c>
      <c r="M39" s="35">
        <f t="shared" si="4"/>
        <v>138.94824472739214</v>
      </c>
      <c r="N39" s="35">
        <f t="shared" si="5"/>
        <v>1.108326343395978</v>
      </c>
      <c r="O39" s="48">
        <f t="shared" si="6"/>
        <v>164.41307271221442</v>
      </c>
      <c r="S39">
        <v>2</v>
      </c>
      <c r="T39" s="33" t="s">
        <v>84</v>
      </c>
    </row>
    <row r="40" spans="2:20" x14ac:dyDescent="0.3">
      <c r="B40" s="9">
        <v>42375</v>
      </c>
      <c r="C40" s="3" t="s">
        <v>5</v>
      </c>
      <c r="D40" s="3" t="s">
        <v>11</v>
      </c>
      <c r="E40" s="3" t="s">
        <v>12</v>
      </c>
      <c r="F40" s="5" t="s">
        <v>13</v>
      </c>
      <c r="G40" s="4">
        <v>168</v>
      </c>
      <c r="H40" s="3">
        <f t="shared" si="7"/>
        <v>0</v>
      </c>
      <c r="I40" s="3">
        <f t="shared" si="8"/>
        <v>0</v>
      </c>
      <c r="J40" s="3">
        <f t="shared" si="9"/>
        <v>1</v>
      </c>
      <c r="K40" s="35">
        <f t="shared" si="10"/>
        <v>0</v>
      </c>
      <c r="L40" s="3">
        <v>37</v>
      </c>
      <c r="M40" s="35">
        <f t="shared" si="4"/>
        <v>139.44402809525886</v>
      </c>
      <c r="N40" s="35">
        <f t="shared" si="5"/>
        <v>1.2047844737046294</v>
      </c>
      <c r="O40" s="48">
        <f t="shared" si="6"/>
        <v>180.90773495152573</v>
      </c>
      <c r="T40" s="29" t="s">
        <v>32</v>
      </c>
    </row>
    <row r="41" spans="2:20" x14ac:dyDescent="0.3">
      <c r="B41" s="9">
        <v>42376</v>
      </c>
      <c r="C41" s="3" t="s">
        <v>6</v>
      </c>
      <c r="D41" s="3" t="s">
        <v>11</v>
      </c>
      <c r="E41" s="3" t="s">
        <v>12</v>
      </c>
      <c r="F41" s="5" t="s">
        <v>13</v>
      </c>
      <c r="G41" s="4">
        <v>154</v>
      </c>
      <c r="H41" s="3">
        <f t="shared" si="7"/>
        <v>0</v>
      </c>
      <c r="I41" s="3">
        <f t="shared" si="8"/>
        <v>0</v>
      </c>
      <c r="J41" s="3">
        <f t="shared" si="9"/>
        <v>1</v>
      </c>
      <c r="K41" s="35">
        <f t="shared" si="10"/>
        <v>0</v>
      </c>
      <c r="L41" s="3">
        <v>38</v>
      </c>
      <c r="M41" s="35">
        <f t="shared" si="4"/>
        <v>139.93981146312558</v>
      </c>
      <c r="N41" s="35">
        <f t="shared" si="5"/>
        <v>1.1004731133325796</v>
      </c>
      <c r="O41" s="48">
        <f t="shared" si="6"/>
        <v>153.68311416075068</v>
      </c>
      <c r="T41" s="29" t="s">
        <v>16</v>
      </c>
    </row>
    <row r="42" spans="2:20" x14ac:dyDescent="0.3">
      <c r="B42" s="9">
        <v>42377</v>
      </c>
      <c r="C42" s="3" t="s">
        <v>7</v>
      </c>
      <c r="D42" s="3" t="s">
        <v>11</v>
      </c>
      <c r="E42" s="3" t="s">
        <v>15</v>
      </c>
      <c r="F42" s="5" t="s">
        <v>13</v>
      </c>
      <c r="G42" s="4">
        <v>140</v>
      </c>
      <c r="H42" s="3">
        <f t="shared" si="7"/>
        <v>0</v>
      </c>
      <c r="I42" s="3">
        <f t="shared" si="8"/>
        <v>0</v>
      </c>
      <c r="J42" s="3">
        <f t="shared" si="9"/>
        <v>1</v>
      </c>
      <c r="K42" s="35">
        <f t="shared" si="10"/>
        <v>0</v>
      </c>
      <c r="L42" s="3">
        <v>39</v>
      </c>
      <c r="M42" s="35">
        <f t="shared" si="4"/>
        <v>140.43559483099227</v>
      </c>
      <c r="N42" s="35">
        <f t="shared" si="5"/>
        <v>0.99689825908085128</v>
      </c>
      <c r="O42" s="48">
        <f t="shared" si="6"/>
        <v>133.06863802605773</v>
      </c>
      <c r="T42" s="29" t="s">
        <v>11</v>
      </c>
    </row>
    <row r="43" spans="2:20" ht="15" thickBot="1" x14ac:dyDescent="0.35">
      <c r="B43" s="9">
        <v>42378</v>
      </c>
      <c r="C43" s="3" t="s">
        <v>8</v>
      </c>
      <c r="D43" s="3" t="s">
        <v>11</v>
      </c>
      <c r="E43" s="3" t="s">
        <v>15</v>
      </c>
      <c r="F43" s="5" t="s">
        <v>13</v>
      </c>
      <c r="G43" s="4">
        <v>113</v>
      </c>
      <c r="H43" s="3">
        <f t="shared" si="7"/>
        <v>0</v>
      </c>
      <c r="I43" s="3">
        <f t="shared" si="8"/>
        <v>0</v>
      </c>
      <c r="J43" s="3">
        <f t="shared" si="9"/>
        <v>1</v>
      </c>
      <c r="K43" s="35">
        <f t="shared" si="10"/>
        <v>0</v>
      </c>
      <c r="L43" s="3">
        <v>40</v>
      </c>
      <c r="M43" s="35">
        <f t="shared" si="4"/>
        <v>140.93137819885899</v>
      </c>
      <c r="N43" s="35">
        <f t="shared" si="5"/>
        <v>0.80180866350822977</v>
      </c>
      <c r="O43" s="48">
        <f t="shared" si="6"/>
        <v>112.78764017798471</v>
      </c>
      <c r="T43" s="30" t="s">
        <v>34</v>
      </c>
    </row>
    <row r="44" spans="2:20" x14ac:dyDescent="0.3">
      <c r="B44" s="9">
        <v>42379</v>
      </c>
      <c r="C44" s="3" t="s">
        <v>9</v>
      </c>
      <c r="D44" s="3" t="s">
        <v>14</v>
      </c>
      <c r="E44" s="3" t="s">
        <v>16</v>
      </c>
      <c r="F44" s="5" t="s">
        <v>13</v>
      </c>
      <c r="G44" s="4">
        <v>98</v>
      </c>
      <c r="H44" s="3">
        <f t="shared" si="7"/>
        <v>0</v>
      </c>
      <c r="I44" s="3">
        <f t="shared" si="8"/>
        <v>1</v>
      </c>
      <c r="J44" s="3">
        <f t="shared" si="9"/>
        <v>0</v>
      </c>
      <c r="K44" s="35">
        <f t="shared" si="10"/>
        <v>0</v>
      </c>
      <c r="L44" s="3">
        <v>41</v>
      </c>
      <c r="M44" s="35">
        <f t="shared" si="4"/>
        <v>179.28908830783405</v>
      </c>
      <c r="N44" s="35">
        <f t="shared" si="5"/>
        <v>0.54660325915505192</v>
      </c>
      <c r="O44" s="48">
        <f t="shared" si="6"/>
        <v>111.63684202246212</v>
      </c>
      <c r="S44">
        <v>3</v>
      </c>
      <c r="T44" s="44" t="s">
        <v>85</v>
      </c>
    </row>
    <row r="45" spans="2:20" x14ac:dyDescent="0.3">
      <c r="B45" s="9">
        <v>42380</v>
      </c>
      <c r="C45" s="3" t="s">
        <v>10</v>
      </c>
      <c r="D45" s="3" t="s">
        <v>11</v>
      </c>
      <c r="E45" s="3" t="s">
        <v>12</v>
      </c>
      <c r="F45" s="5" t="s">
        <v>13</v>
      </c>
      <c r="G45" s="4">
        <v>140</v>
      </c>
      <c r="H45" s="3">
        <f t="shared" si="7"/>
        <v>0</v>
      </c>
      <c r="I45" s="3">
        <f t="shared" si="8"/>
        <v>0</v>
      </c>
      <c r="J45" s="3">
        <f t="shared" si="9"/>
        <v>1</v>
      </c>
      <c r="K45" s="35">
        <f t="shared" si="10"/>
        <v>0</v>
      </c>
      <c r="L45" s="3">
        <v>42</v>
      </c>
      <c r="M45" s="35">
        <f t="shared" si="4"/>
        <v>141.92294493459241</v>
      </c>
      <c r="N45" s="35">
        <f t="shared" si="5"/>
        <v>0.98645078189803181</v>
      </c>
      <c r="O45" s="48">
        <f t="shared" si="6"/>
        <v>153.10609294910489</v>
      </c>
      <c r="S45">
        <v>4</v>
      </c>
      <c r="T45" s="33" t="str">
        <f>_xlfn.CONCAT("Adjusted R square is ",ROUND(R8,3))</f>
        <v>Adjusted R square is 0.42</v>
      </c>
    </row>
    <row r="46" spans="2:20" x14ac:dyDescent="0.3">
      <c r="B46" s="9">
        <v>42381</v>
      </c>
      <c r="C46" s="3" t="s">
        <v>4</v>
      </c>
      <c r="D46" s="3" t="s">
        <v>11</v>
      </c>
      <c r="E46" s="3" t="s">
        <v>15</v>
      </c>
      <c r="F46" s="5" t="s">
        <v>13</v>
      </c>
      <c r="G46" s="4">
        <v>180</v>
      </c>
      <c r="H46" s="3">
        <f t="shared" si="7"/>
        <v>0</v>
      </c>
      <c r="I46" s="3">
        <f t="shared" si="8"/>
        <v>0</v>
      </c>
      <c r="J46" s="3">
        <f t="shared" si="9"/>
        <v>1</v>
      </c>
      <c r="K46" s="35">
        <f t="shared" si="10"/>
        <v>0</v>
      </c>
      <c r="L46" s="3">
        <v>43</v>
      </c>
      <c r="M46" s="35">
        <f t="shared" si="4"/>
        <v>142.41872830245913</v>
      </c>
      <c r="N46" s="35">
        <f t="shared" si="5"/>
        <v>1.2638787197827546</v>
      </c>
      <c r="O46" s="48">
        <f t="shared" si="6"/>
        <v>168.51958639645349</v>
      </c>
    </row>
    <row r="47" spans="2:20" x14ac:dyDescent="0.3">
      <c r="B47" s="9">
        <v>42382</v>
      </c>
      <c r="C47" s="3" t="s">
        <v>5</v>
      </c>
      <c r="D47" s="3" t="s">
        <v>11</v>
      </c>
      <c r="E47" s="3" t="s">
        <v>12</v>
      </c>
      <c r="F47" s="5" t="s">
        <v>13</v>
      </c>
      <c r="G47" s="4">
        <v>175</v>
      </c>
      <c r="H47" s="3">
        <f t="shared" si="7"/>
        <v>0</v>
      </c>
      <c r="I47" s="3">
        <f t="shared" si="8"/>
        <v>0</v>
      </c>
      <c r="J47" s="3">
        <f t="shared" si="9"/>
        <v>1</v>
      </c>
      <c r="K47" s="35">
        <f t="shared" si="10"/>
        <v>0</v>
      </c>
      <c r="L47" s="3">
        <v>44</v>
      </c>
      <c r="M47" s="35">
        <f t="shared" si="4"/>
        <v>142.91451167032585</v>
      </c>
      <c r="N47" s="35">
        <f t="shared" si="5"/>
        <v>1.2245082599007771</v>
      </c>
      <c r="O47" s="48">
        <f t="shared" si="6"/>
        <v>185.41016744238109</v>
      </c>
    </row>
    <row r="48" spans="2:20" x14ac:dyDescent="0.3">
      <c r="B48" s="9">
        <v>42383</v>
      </c>
      <c r="C48" s="3" t="s">
        <v>6</v>
      </c>
      <c r="D48" s="3" t="s">
        <v>11</v>
      </c>
      <c r="E48" s="3" t="s">
        <v>15</v>
      </c>
      <c r="F48" s="5" t="s">
        <v>13</v>
      </c>
      <c r="G48" s="4">
        <v>179</v>
      </c>
      <c r="H48" s="3">
        <f t="shared" si="7"/>
        <v>0</v>
      </c>
      <c r="I48" s="3">
        <f t="shared" si="8"/>
        <v>0</v>
      </c>
      <c r="J48" s="3">
        <f t="shared" si="9"/>
        <v>1</v>
      </c>
      <c r="K48" s="35">
        <f t="shared" si="10"/>
        <v>0</v>
      </c>
      <c r="L48" s="3">
        <v>45</v>
      </c>
      <c r="M48" s="35">
        <f t="shared" si="4"/>
        <v>143.41029503819257</v>
      </c>
      <c r="N48" s="35">
        <f t="shared" si="5"/>
        <v>1.2481670158500775</v>
      </c>
      <c r="O48" s="48">
        <f t="shared" si="6"/>
        <v>157.4944293103396</v>
      </c>
    </row>
    <row r="49" spans="2:15" x14ac:dyDescent="0.3">
      <c r="B49" s="9">
        <v>42384</v>
      </c>
      <c r="C49" s="3" t="s">
        <v>7</v>
      </c>
      <c r="D49" s="3" t="s">
        <v>11</v>
      </c>
      <c r="E49" s="3" t="s">
        <v>15</v>
      </c>
      <c r="F49" s="5" t="s">
        <v>13</v>
      </c>
      <c r="G49" s="4">
        <v>136</v>
      </c>
      <c r="H49" s="3">
        <f t="shared" si="7"/>
        <v>0</v>
      </c>
      <c r="I49" s="3">
        <f t="shared" si="8"/>
        <v>0</v>
      </c>
      <c r="J49" s="3">
        <f t="shared" si="9"/>
        <v>1</v>
      </c>
      <c r="K49" s="35">
        <f t="shared" si="10"/>
        <v>0</v>
      </c>
      <c r="L49" s="3">
        <v>46</v>
      </c>
      <c r="M49" s="35">
        <f t="shared" si="4"/>
        <v>143.90607840605927</v>
      </c>
      <c r="N49" s="35">
        <f t="shared" si="5"/>
        <v>0.94506084458954742</v>
      </c>
      <c r="O49" s="48">
        <f t="shared" si="6"/>
        <v>136.35706731054032</v>
      </c>
    </row>
    <row r="50" spans="2:15" x14ac:dyDescent="0.3">
      <c r="B50" s="9">
        <v>42385</v>
      </c>
      <c r="C50" s="3" t="s">
        <v>8</v>
      </c>
      <c r="D50" s="3" t="s">
        <v>11</v>
      </c>
      <c r="E50" s="3" t="s">
        <v>16</v>
      </c>
      <c r="F50" s="5" t="s">
        <v>13</v>
      </c>
      <c r="G50" s="4">
        <v>152</v>
      </c>
      <c r="H50" s="3">
        <f t="shared" si="7"/>
        <v>0</v>
      </c>
      <c r="I50" s="3">
        <f t="shared" si="8"/>
        <v>1</v>
      </c>
      <c r="J50" s="3">
        <f t="shared" si="9"/>
        <v>1</v>
      </c>
      <c r="K50" s="35">
        <f t="shared" si="10"/>
        <v>0</v>
      </c>
      <c r="L50" s="3">
        <v>47</v>
      </c>
      <c r="M50" s="35">
        <f t="shared" si="4"/>
        <v>202.36305988867886</v>
      </c>
      <c r="N50" s="35">
        <f t="shared" si="5"/>
        <v>0.75112523048236235</v>
      </c>
      <c r="O50" s="48">
        <f t="shared" si="6"/>
        <v>161.95152758553715</v>
      </c>
    </row>
    <row r="51" spans="2:15" x14ac:dyDescent="0.3">
      <c r="B51" s="9">
        <v>42386</v>
      </c>
      <c r="C51" s="3" t="s">
        <v>9</v>
      </c>
      <c r="D51" s="3" t="s">
        <v>11</v>
      </c>
      <c r="E51" s="3" t="s">
        <v>15</v>
      </c>
      <c r="F51" s="5" t="s">
        <v>13</v>
      </c>
      <c r="G51" s="4">
        <v>87</v>
      </c>
      <c r="H51" s="3">
        <f t="shared" si="7"/>
        <v>0</v>
      </c>
      <c r="I51" s="3">
        <f t="shared" si="8"/>
        <v>0</v>
      </c>
      <c r="J51" s="3">
        <f t="shared" si="9"/>
        <v>1</v>
      </c>
      <c r="K51" s="35">
        <f t="shared" si="10"/>
        <v>0</v>
      </c>
      <c r="L51" s="3">
        <v>48</v>
      </c>
      <c r="M51" s="35">
        <f t="shared" si="4"/>
        <v>144.89764514179271</v>
      </c>
      <c r="N51" s="35">
        <f t="shared" si="5"/>
        <v>0.60042383652863562</v>
      </c>
      <c r="O51" s="48">
        <f t="shared" si="6"/>
        <v>90.222532072601766</v>
      </c>
    </row>
    <row r="52" spans="2:15" x14ac:dyDescent="0.3">
      <c r="B52" s="9">
        <v>42387</v>
      </c>
      <c r="C52" s="3" t="s">
        <v>10</v>
      </c>
      <c r="D52" s="3" t="s">
        <v>11</v>
      </c>
      <c r="E52" s="3" t="s">
        <v>12</v>
      </c>
      <c r="F52" s="5" t="s">
        <v>30</v>
      </c>
      <c r="G52" s="4">
        <v>89</v>
      </c>
      <c r="H52" s="3">
        <f t="shared" si="7"/>
        <v>0</v>
      </c>
      <c r="I52" s="3">
        <f t="shared" si="8"/>
        <v>0</v>
      </c>
      <c r="J52" s="3">
        <f t="shared" si="9"/>
        <v>1</v>
      </c>
      <c r="K52" s="35">
        <f t="shared" si="10"/>
        <v>1</v>
      </c>
      <c r="L52" s="3">
        <v>49</v>
      </c>
      <c r="M52" s="35">
        <f t="shared" si="4"/>
        <v>68.679833860265944</v>
      </c>
      <c r="N52" s="35">
        <f t="shared" si="5"/>
        <v>1.2958680153635329</v>
      </c>
      <c r="O52" s="48">
        <f t="shared" si="6"/>
        <v>74.091620855141599</v>
      </c>
    </row>
    <row r="53" spans="2:15" x14ac:dyDescent="0.3">
      <c r="B53" s="9">
        <v>42388</v>
      </c>
      <c r="C53" s="3" t="s">
        <v>4</v>
      </c>
      <c r="D53" s="3" t="s">
        <v>11</v>
      </c>
      <c r="E53" s="3" t="s">
        <v>12</v>
      </c>
      <c r="F53" s="5" t="s">
        <v>13</v>
      </c>
      <c r="G53" s="4">
        <v>163</v>
      </c>
      <c r="H53" s="3">
        <f t="shared" si="7"/>
        <v>0</v>
      </c>
      <c r="I53" s="3">
        <f t="shared" si="8"/>
        <v>0</v>
      </c>
      <c r="J53" s="3">
        <f t="shared" si="9"/>
        <v>1</v>
      </c>
      <c r="K53" s="35">
        <f t="shared" si="10"/>
        <v>0</v>
      </c>
      <c r="L53" s="3">
        <v>50</v>
      </c>
      <c r="M53" s="35">
        <f t="shared" si="4"/>
        <v>145.88921187752612</v>
      </c>
      <c r="N53" s="35">
        <f t="shared" si="5"/>
        <v>1.117286178342223</v>
      </c>
      <c r="O53" s="48">
        <f t="shared" si="6"/>
        <v>172.62610008069257</v>
      </c>
    </row>
    <row r="54" spans="2:15" x14ac:dyDescent="0.3">
      <c r="B54" s="9">
        <v>42389</v>
      </c>
      <c r="C54" s="3" t="s">
        <v>5</v>
      </c>
      <c r="D54" s="3" t="s">
        <v>11</v>
      </c>
      <c r="E54" s="3" t="s">
        <v>15</v>
      </c>
      <c r="F54" s="5" t="s">
        <v>13</v>
      </c>
      <c r="G54" s="4">
        <v>198</v>
      </c>
      <c r="H54" s="3">
        <f t="shared" si="7"/>
        <v>0</v>
      </c>
      <c r="I54" s="3">
        <f t="shared" si="8"/>
        <v>0</v>
      </c>
      <c r="J54" s="3">
        <f t="shared" si="9"/>
        <v>1</v>
      </c>
      <c r="K54" s="35">
        <f t="shared" si="10"/>
        <v>0</v>
      </c>
      <c r="L54" s="3">
        <v>51</v>
      </c>
      <c r="M54" s="35">
        <f t="shared" si="4"/>
        <v>146.38499524539284</v>
      </c>
      <c r="N54" s="35">
        <f t="shared" si="5"/>
        <v>1.3525976461459197</v>
      </c>
      <c r="O54" s="48">
        <f t="shared" si="6"/>
        <v>189.91259993323649</v>
      </c>
    </row>
    <row r="55" spans="2:15" x14ac:dyDescent="0.3">
      <c r="B55" s="9">
        <v>42390</v>
      </c>
      <c r="C55" s="3" t="s">
        <v>6</v>
      </c>
      <c r="D55" s="3" t="s">
        <v>11</v>
      </c>
      <c r="E55" s="3" t="s">
        <v>12</v>
      </c>
      <c r="F55" s="5" t="s">
        <v>13</v>
      </c>
      <c r="G55" s="4">
        <v>170</v>
      </c>
      <c r="H55" s="3">
        <f t="shared" si="7"/>
        <v>0</v>
      </c>
      <c r="I55" s="3">
        <f t="shared" si="8"/>
        <v>0</v>
      </c>
      <c r="J55" s="3">
        <f t="shared" si="9"/>
        <v>1</v>
      </c>
      <c r="K55" s="35">
        <f t="shared" si="10"/>
        <v>0</v>
      </c>
      <c r="L55" s="3">
        <v>52</v>
      </c>
      <c r="M55" s="35">
        <f t="shared" si="4"/>
        <v>146.88077861325954</v>
      </c>
      <c r="N55" s="35">
        <f t="shared" si="5"/>
        <v>1.1574012720045139</v>
      </c>
      <c r="O55" s="48">
        <f t="shared" si="6"/>
        <v>161.30574445992852</v>
      </c>
    </row>
    <row r="56" spans="2:15" x14ac:dyDescent="0.3">
      <c r="B56" s="9">
        <v>42391</v>
      </c>
      <c r="C56" s="3" t="s">
        <v>7</v>
      </c>
      <c r="D56" s="3" t="s">
        <v>11</v>
      </c>
      <c r="E56" s="3" t="s">
        <v>12</v>
      </c>
      <c r="F56" s="5" t="s">
        <v>13</v>
      </c>
      <c r="G56" s="4">
        <v>132</v>
      </c>
      <c r="H56" s="3">
        <f t="shared" si="7"/>
        <v>0</v>
      </c>
      <c r="I56" s="3">
        <f t="shared" si="8"/>
        <v>0</v>
      </c>
      <c r="J56" s="3">
        <f t="shared" si="9"/>
        <v>1</v>
      </c>
      <c r="K56" s="35">
        <f t="shared" si="10"/>
        <v>0</v>
      </c>
      <c r="L56" s="3">
        <v>53</v>
      </c>
      <c r="M56" s="35">
        <f t="shared" si="4"/>
        <v>147.37656198112626</v>
      </c>
      <c r="N56" s="35">
        <f t="shared" si="5"/>
        <v>0.89566480738575338</v>
      </c>
      <c r="O56" s="48">
        <f t="shared" si="6"/>
        <v>139.64549659502291</v>
      </c>
    </row>
    <row r="57" spans="2:15" x14ac:dyDescent="0.3">
      <c r="B57" s="9">
        <v>42392</v>
      </c>
      <c r="C57" s="3" t="s">
        <v>8</v>
      </c>
      <c r="D57" s="3" t="s">
        <v>11</v>
      </c>
      <c r="E57" s="3" t="s">
        <v>15</v>
      </c>
      <c r="F57" s="5" t="s">
        <v>13</v>
      </c>
      <c r="G57" s="4">
        <v>121</v>
      </c>
      <c r="H57" s="3">
        <f t="shared" si="7"/>
        <v>0</v>
      </c>
      <c r="I57" s="3">
        <f t="shared" si="8"/>
        <v>0</v>
      </c>
      <c r="J57" s="3">
        <f t="shared" si="9"/>
        <v>1</v>
      </c>
      <c r="K57" s="35">
        <f t="shared" si="10"/>
        <v>0</v>
      </c>
      <c r="L57" s="3">
        <v>54</v>
      </c>
      <c r="M57" s="35">
        <f t="shared" si="4"/>
        <v>147.87234534899298</v>
      </c>
      <c r="N57" s="35">
        <f t="shared" si="5"/>
        <v>0.8182733540502678</v>
      </c>
      <c r="O57" s="48">
        <f t="shared" si="6"/>
        <v>118.34250890503206</v>
      </c>
    </row>
    <row r="58" spans="2:15" x14ac:dyDescent="0.3">
      <c r="B58" s="9">
        <v>42393</v>
      </c>
      <c r="C58" s="3" t="s">
        <v>9</v>
      </c>
      <c r="D58" s="3" t="s">
        <v>11</v>
      </c>
      <c r="E58" s="3" t="s">
        <v>12</v>
      </c>
      <c r="F58" s="5" t="s">
        <v>13</v>
      </c>
      <c r="G58" s="4">
        <v>81</v>
      </c>
      <c r="H58" s="3">
        <f t="shared" si="7"/>
        <v>0</v>
      </c>
      <c r="I58" s="3">
        <f t="shared" si="8"/>
        <v>0</v>
      </c>
      <c r="J58" s="3">
        <f t="shared" si="9"/>
        <v>1</v>
      </c>
      <c r="K58" s="35">
        <f t="shared" si="10"/>
        <v>0</v>
      </c>
      <c r="L58" s="3">
        <v>55</v>
      </c>
      <c r="M58" s="35">
        <f t="shared" si="4"/>
        <v>148.36812871685967</v>
      </c>
      <c r="N58" s="35">
        <f t="shared" si="5"/>
        <v>0.54593935166883079</v>
      </c>
      <c r="O58" s="48">
        <f t="shared" si="6"/>
        <v>92.38347689232269</v>
      </c>
    </row>
    <row r="59" spans="2:15" x14ac:dyDescent="0.3">
      <c r="B59" s="9">
        <v>42394</v>
      </c>
      <c r="C59" s="3" t="s">
        <v>10</v>
      </c>
      <c r="D59" s="3" t="s">
        <v>11</v>
      </c>
      <c r="E59" s="3" t="s">
        <v>15</v>
      </c>
      <c r="F59" s="5" t="s">
        <v>13</v>
      </c>
      <c r="G59" s="4">
        <v>162</v>
      </c>
      <c r="H59" s="3">
        <f t="shared" si="7"/>
        <v>0</v>
      </c>
      <c r="I59" s="3">
        <f t="shared" si="8"/>
        <v>0</v>
      </c>
      <c r="J59" s="3">
        <f t="shared" si="9"/>
        <v>1</v>
      </c>
      <c r="K59" s="35">
        <f t="shared" si="10"/>
        <v>0</v>
      </c>
      <c r="L59" s="3">
        <v>56</v>
      </c>
      <c r="M59" s="35">
        <f t="shared" si="4"/>
        <v>148.86391208472639</v>
      </c>
      <c r="N59" s="35">
        <f t="shared" si="5"/>
        <v>1.0882422591970924</v>
      </c>
      <c r="O59" s="48">
        <f t="shared" si="6"/>
        <v>160.59398972389957</v>
      </c>
    </row>
    <row r="60" spans="2:15" x14ac:dyDescent="0.3">
      <c r="B60" s="9">
        <v>42395</v>
      </c>
      <c r="C60" s="3" t="s">
        <v>4</v>
      </c>
      <c r="D60" s="3" t="s">
        <v>14</v>
      </c>
      <c r="E60" s="3" t="s">
        <v>15</v>
      </c>
      <c r="F60" s="5" t="s">
        <v>13</v>
      </c>
      <c r="G60" s="4">
        <v>161</v>
      </c>
      <c r="H60" s="3">
        <f t="shared" si="7"/>
        <v>0</v>
      </c>
      <c r="I60" s="3">
        <f t="shared" si="8"/>
        <v>0</v>
      </c>
      <c r="J60" s="3">
        <f t="shared" si="9"/>
        <v>0</v>
      </c>
      <c r="K60" s="35">
        <f t="shared" si="10"/>
        <v>0</v>
      </c>
      <c r="L60" s="3">
        <v>57</v>
      </c>
      <c r="M60" s="35">
        <f t="shared" si="4"/>
        <v>129.26042407894857</v>
      </c>
      <c r="N60" s="35">
        <f t="shared" si="5"/>
        <v>1.2455475150047921</v>
      </c>
      <c r="O60" s="48">
        <f t="shared" si="6"/>
        <v>152.94978029120955</v>
      </c>
    </row>
    <row r="61" spans="2:15" x14ac:dyDescent="0.3">
      <c r="B61" s="9">
        <v>42396</v>
      </c>
      <c r="C61" s="3" t="s">
        <v>5</v>
      </c>
      <c r="D61" s="3" t="s">
        <v>14</v>
      </c>
      <c r="E61" s="3" t="s">
        <v>15</v>
      </c>
      <c r="F61" s="5" t="s">
        <v>13</v>
      </c>
      <c r="G61" s="4">
        <v>177</v>
      </c>
      <c r="H61" s="3">
        <f t="shared" si="7"/>
        <v>0</v>
      </c>
      <c r="I61" s="3">
        <f t="shared" si="8"/>
        <v>0</v>
      </c>
      <c r="J61" s="3">
        <f t="shared" si="9"/>
        <v>0</v>
      </c>
      <c r="K61" s="35">
        <f t="shared" si="10"/>
        <v>0</v>
      </c>
      <c r="L61" s="3">
        <v>58</v>
      </c>
      <c r="M61" s="35">
        <f t="shared" si="4"/>
        <v>129.75620744681527</v>
      </c>
      <c r="N61" s="35">
        <f t="shared" si="5"/>
        <v>1.364096589155853</v>
      </c>
      <c r="O61" s="48">
        <f t="shared" si="6"/>
        <v>168.33923908930572</v>
      </c>
    </row>
    <row r="62" spans="2:15" x14ac:dyDescent="0.3">
      <c r="B62" s="9">
        <v>42397</v>
      </c>
      <c r="C62" s="3" t="s">
        <v>6</v>
      </c>
      <c r="D62" s="3" t="s">
        <v>11</v>
      </c>
      <c r="E62" s="3" t="s">
        <v>15</v>
      </c>
      <c r="F62" s="5" t="s">
        <v>13</v>
      </c>
      <c r="G62" s="4">
        <v>188</v>
      </c>
      <c r="H62" s="3">
        <f t="shared" si="7"/>
        <v>0</v>
      </c>
      <c r="I62" s="3">
        <f t="shared" si="8"/>
        <v>0</v>
      </c>
      <c r="J62" s="3">
        <f t="shared" si="9"/>
        <v>1</v>
      </c>
      <c r="K62" s="35">
        <f t="shared" si="10"/>
        <v>0</v>
      </c>
      <c r="L62" s="3">
        <v>59</v>
      </c>
      <c r="M62" s="35">
        <f t="shared" si="4"/>
        <v>150.35126218832653</v>
      </c>
      <c r="N62" s="35">
        <f t="shared" si="5"/>
        <v>1.2504051995553953</v>
      </c>
      <c r="O62" s="48">
        <f t="shared" si="6"/>
        <v>165.11705960951747</v>
      </c>
    </row>
    <row r="63" spans="2:15" x14ac:dyDescent="0.3">
      <c r="B63" s="9">
        <v>42398</v>
      </c>
      <c r="C63" s="3" t="s">
        <v>7</v>
      </c>
      <c r="D63" s="3" t="s">
        <v>11</v>
      </c>
      <c r="E63" s="3" t="s">
        <v>15</v>
      </c>
      <c r="F63" s="5" t="s">
        <v>13</v>
      </c>
      <c r="G63" s="4">
        <v>146</v>
      </c>
      <c r="H63" s="3">
        <f t="shared" si="7"/>
        <v>0</v>
      </c>
      <c r="I63" s="3">
        <f t="shared" si="8"/>
        <v>0</v>
      </c>
      <c r="J63" s="3">
        <f t="shared" si="9"/>
        <v>1</v>
      </c>
      <c r="K63" s="35">
        <f t="shared" si="10"/>
        <v>0</v>
      </c>
      <c r="L63" s="3">
        <v>60</v>
      </c>
      <c r="M63" s="35">
        <f t="shared" si="4"/>
        <v>150.84704555619325</v>
      </c>
      <c r="N63" s="35">
        <f t="shared" si="5"/>
        <v>0.96786781246976672</v>
      </c>
      <c r="O63" s="48">
        <f t="shared" si="6"/>
        <v>142.93392587950552</v>
      </c>
    </row>
    <row r="64" spans="2:15" x14ac:dyDescent="0.3">
      <c r="B64" s="9">
        <v>42399</v>
      </c>
      <c r="C64" s="3" t="s">
        <v>8</v>
      </c>
      <c r="D64" s="3" t="s">
        <v>11</v>
      </c>
      <c r="E64" s="3" t="s">
        <v>15</v>
      </c>
      <c r="F64" s="5" t="s">
        <v>13</v>
      </c>
      <c r="G64" s="4">
        <v>120</v>
      </c>
      <c r="H64" s="3">
        <f t="shared" si="7"/>
        <v>0</v>
      </c>
      <c r="I64" s="3">
        <f t="shared" si="8"/>
        <v>0</v>
      </c>
      <c r="J64" s="3">
        <f t="shared" si="9"/>
        <v>1</v>
      </c>
      <c r="K64" s="35">
        <f t="shared" si="10"/>
        <v>0</v>
      </c>
      <c r="L64" s="3">
        <v>61</v>
      </c>
      <c r="M64" s="35">
        <f t="shared" si="4"/>
        <v>151.34282892405997</v>
      </c>
      <c r="N64" s="35">
        <f t="shared" si="5"/>
        <v>0.79290179028048291</v>
      </c>
      <c r="O64" s="48">
        <f t="shared" si="6"/>
        <v>121.11994326855573</v>
      </c>
    </row>
    <row r="65" spans="2:15" x14ac:dyDescent="0.3">
      <c r="B65" s="9">
        <v>42400</v>
      </c>
      <c r="C65" s="3" t="s">
        <v>9</v>
      </c>
      <c r="D65" s="3" t="s">
        <v>14</v>
      </c>
      <c r="E65" s="3" t="s">
        <v>15</v>
      </c>
      <c r="F65" s="5" t="s">
        <v>13</v>
      </c>
      <c r="G65" s="4">
        <v>86</v>
      </c>
      <c r="H65" s="3">
        <f t="shared" si="7"/>
        <v>0</v>
      </c>
      <c r="I65" s="3">
        <f t="shared" si="8"/>
        <v>0</v>
      </c>
      <c r="J65" s="3">
        <f t="shared" si="9"/>
        <v>0</v>
      </c>
      <c r="K65" s="35">
        <f t="shared" si="10"/>
        <v>0</v>
      </c>
      <c r="L65" s="3">
        <v>62</v>
      </c>
      <c r="M65" s="35">
        <f t="shared" si="4"/>
        <v>131.73934091828212</v>
      </c>
      <c r="N65" s="35">
        <f t="shared" si="5"/>
        <v>0.65280423752344241</v>
      </c>
      <c r="O65" s="48">
        <f t="shared" si="6"/>
        <v>82.029331115712523</v>
      </c>
    </row>
    <row r="66" spans="2:15" x14ac:dyDescent="0.3">
      <c r="B66" s="9">
        <v>42401</v>
      </c>
      <c r="C66" s="3" t="s">
        <v>10</v>
      </c>
      <c r="D66" s="3" t="s">
        <v>26</v>
      </c>
      <c r="E66" s="3" t="s">
        <v>15</v>
      </c>
      <c r="F66" s="5" t="s">
        <v>13</v>
      </c>
      <c r="G66" s="4">
        <v>136</v>
      </c>
      <c r="H66" s="3">
        <f t="shared" si="7"/>
        <v>0</v>
      </c>
      <c r="I66" s="3">
        <f t="shared" si="8"/>
        <v>0</v>
      </c>
      <c r="J66" s="3">
        <f t="shared" si="9"/>
        <v>0</v>
      </c>
      <c r="K66" s="35">
        <f t="shared" si="10"/>
        <v>0</v>
      </c>
      <c r="L66" s="3">
        <v>63</v>
      </c>
      <c r="M66" s="35">
        <f t="shared" si="4"/>
        <v>132.23512428614885</v>
      </c>
      <c r="N66" s="35">
        <f t="shared" si="5"/>
        <v>1.0284710717683767</v>
      </c>
      <c r="O66" s="48">
        <f t="shared" si="6"/>
        <v>142.65489797595629</v>
      </c>
    </row>
    <row r="67" spans="2:15" x14ac:dyDescent="0.3">
      <c r="B67" s="9">
        <v>42402</v>
      </c>
      <c r="C67" s="3" t="s">
        <v>4</v>
      </c>
      <c r="D67" s="3" t="s">
        <v>14</v>
      </c>
      <c r="E67" s="3" t="s">
        <v>15</v>
      </c>
      <c r="F67" s="5" t="s">
        <v>13</v>
      </c>
      <c r="G67" s="4">
        <v>165</v>
      </c>
      <c r="H67" s="3">
        <f t="shared" si="7"/>
        <v>0</v>
      </c>
      <c r="I67" s="3">
        <f t="shared" si="8"/>
        <v>0</v>
      </c>
      <c r="J67" s="3">
        <f t="shared" si="9"/>
        <v>0</v>
      </c>
      <c r="K67" s="35">
        <f t="shared" si="10"/>
        <v>0</v>
      </c>
      <c r="L67" s="3">
        <v>64</v>
      </c>
      <c r="M67" s="35">
        <f t="shared" si="4"/>
        <v>132.73090765401554</v>
      </c>
      <c r="N67" s="35">
        <f t="shared" si="5"/>
        <v>1.2431166403992282</v>
      </c>
      <c r="O67" s="48">
        <f t="shared" si="6"/>
        <v>157.0562939754486</v>
      </c>
    </row>
    <row r="68" spans="2:15" x14ac:dyDescent="0.3">
      <c r="B68" s="9">
        <v>42403</v>
      </c>
      <c r="C68" s="3" t="s">
        <v>5</v>
      </c>
      <c r="D68" s="3" t="s">
        <v>14</v>
      </c>
      <c r="E68" s="3" t="s">
        <v>16</v>
      </c>
      <c r="F68" s="5" t="s">
        <v>13</v>
      </c>
      <c r="G68" s="4">
        <v>266</v>
      </c>
      <c r="H68" s="3">
        <f t="shared" ref="H68:H99" si="11">IF(E68=$H$3,1,0)</f>
        <v>0</v>
      </c>
      <c r="I68" s="3">
        <f t="shared" ref="I68:I99" si="12">IF(E68=$I$3,1,0)</f>
        <v>1</v>
      </c>
      <c r="J68" s="3">
        <f t="shared" ref="J68:J99" si="13">IF(D68=J$3,1,0)</f>
        <v>0</v>
      </c>
      <c r="K68" s="35">
        <f t="shared" ref="K68:K99" si="14">IF(F68="Yes",1,0)</f>
        <v>0</v>
      </c>
      <c r="L68" s="3">
        <v>65</v>
      </c>
      <c r="M68" s="35">
        <f t="shared" si="4"/>
        <v>191.18788913663514</v>
      </c>
      <c r="N68" s="35">
        <f t="shared" si="5"/>
        <v>1.3913015160175723</v>
      </c>
      <c r="O68" s="48">
        <f t="shared" si="6"/>
        <v>248.03764238827276</v>
      </c>
    </row>
    <row r="69" spans="2:15" x14ac:dyDescent="0.3">
      <c r="B69" s="9">
        <v>42404</v>
      </c>
      <c r="C69" s="3" t="s">
        <v>6</v>
      </c>
      <c r="D69" s="3" t="s">
        <v>14</v>
      </c>
      <c r="E69" s="3" t="s">
        <v>15</v>
      </c>
      <c r="F69" s="5" t="s">
        <v>13</v>
      </c>
      <c r="G69" s="4">
        <v>167</v>
      </c>
      <c r="H69" s="3">
        <f t="shared" si="11"/>
        <v>0</v>
      </c>
      <c r="I69" s="3">
        <f t="shared" si="12"/>
        <v>0</v>
      </c>
      <c r="J69" s="3">
        <f t="shared" si="13"/>
        <v>0</v>
      </c>
      <c r="K69" s="35">
        <f t="shared" si="14"/>
        <v>0</v>
      </c>
      <c r="L69" s="3">
        <v>66</v>
      </c>
      <c r="M69" s="35">
        <f t="shared" ref="M69:M138" si="15">$R$19+$R$20*H69+$R$21*I69+$R$22*J69+$R$23*K69+$R$24*L69</f>
        <v>133.72247438974898</v>
      </c>
      <c r="N69" s="35">
        <f t="shared" ref="N69:N138" si="16">G69/M69</f>
        <v>1.2488551439248723</v>
      </c>
      <c r="O69" s="48">
        <f t="shared" ref="O69:O138" si="17">VLOOKUP(C69,$Q$30:$R$36,2,FALSE)*M69</f>
        <v>146.8551806853981</v>
      </c>
    </row>
    <row r="70" spans="2:15" x14ac:dyDescent="0.3">
      <c r="B70" s="9">
        <v>42405</v>
      </c>
      <c r="C70" s="3" t="s">
        <v>7</v>
      </c>
      <c r="D70" s="3" t="s">
        <v>11</v>
      </c>
      <c r="E70" s="3" t="s">
        <v>16</v>
      </c>
      <c r="F70" s="5" t="s">
        <v>13</v>
      </c>
      <c r="G70" s="4">
        <v>214</v>
      </c>
      <c r="H70" s="3">
        <f t="shared" si="11"/>
        <v>0</v>
      </c>
      <c r="I70" s="3">
        <f t="shared" si="12"/>
        <v>1</v>
      </c>
      <c r="J70" s="3">
        <f t="shared" si="13"/>
        <v>1</v>
      </c>
      <c r="K70" s="35">
        <f t="shared" si="14"/>
        <v>0</v>
      </c>
      <c r="L70" s="3">
        <v>67</v>
      </c>
      <c r="M70" s="35">
        <f t="shared" si="15"/>
        <v>212.27872724601309</v>
      </c>
      <c r="N70" s="35">
        <f t="shared" si="16"/>
        <v>1.0081085503776932</v>
      </c>
      <c r="O70" s="48">
        <f t="shared" si="17"/>
        <v>201.14303037293843</v>
      </c>
    </row>
    <row r="71" spans="2:15" x14ac:dyDescent="0.3">
      <c r="B71" s="9">
        <v>42406</v>
      </c>
      <c r="C71" s="3" t="s">
        <v>8</v>
      </c>
      <c r="D71" s="3" t="s">
        <v>11</v>
      </c>
      <c r="E71" s="3" t="s">
        <v>15</v>
      </c>
      <c r="F71" s="5" t="s">
        <v>13</v>
      </c>
      <c r="G71" s="4">
        <v>126</v>
      </c>
      <c r="H71" s="3">
        <f t="shared" si="11"/>
        <v>0</v>
      </c>
      <c r="I71" s="3">
        <f t="shared" si="12"/>
        <v>0</v>
      </c>
      <c r="J71" s="3">
        <f t="shared" si="13"/>
        <v>1</v>
      </c>
      <c r="K71" s="35">
        <f t="shared" si="14"/>
        <v>0</v>
      </c>
      <c r="L71" s="3">
        <v>68</v>
      </c>
      <c r="M71" s="35">
        <f t="shared" si="15"/>
        <v>154.81331249912694</v>
      </c>
      <c r="N71" s="35">
        <f t="shared" si="16"/>
        <v>0.81388349597332321</v>
      </c>
      <c r="O71" s="48">
        <f t="shared" si="17"/>
        <v>123.89737763207938</v>
      </c>
    </row>
    <row r="72" spans="2:15" x14ac:dyDescent="0.3">
      <c r="B72" s="9">
        <v>42407</v>
      </c>
      <c r="C72" s="3" t="s">
        <v>9</v>
      </c>
      <c r="D72" s="3" t="s">
        <v>11</v>
      </c>
      <c r="E72" s="3" t="s">
        <v>15</v>
      </c>
      <c r="F72" s="5" t="s">
        <v>13</v>
      </c>
      <c r="G72" s="4">
        <v>98</v>
      </c>
      <c r="H72" s="3">
        <f t="shared" si="11"/>
        <v>0</v>
      </c>
      <c r="I72" s="3">
        <f t="shared" si="12"/>
        <v>0</v>
      </c>
      <c r="J72" s="3">
        <f t="shared" si="13"/>
        <v>1</v>
      </c>
      <c r="K72" s="35">
        <f t="shared" si="14"/>
        <v>0</v>
      </c>
      <c r="L72" s="3">
        <v>69</v>
      </c>
      <c r="M72" s="35">
        <f t="shared" si="15"/>
        <v>155.30909586699366</v>
      </c>
      <c r="N72" s="35">
        <f t="shared" si="16"/>
        <v>0.63099974571951001</v>
      </c>
      <c r="O72" s="48">
        <f t="shared" si="17"/>
        <v>96.705366531764554</v>
      </c>
    </row>
    <row r="73" spans="2:15" x14ac:dyDescent="0.3">
      <c r="B73" s="9">
        <v>42408</v>
      </c>
      <c r="C73" s="3" t="s">
        <v>10</v>
      </c>
      <c r="D73" s="3" t="s">
        <v>11</v>
      </c>
      <c r="E73" s="3" t="s">
        <v>15</v>
      </c>
      <c r="F73" s="5" t="s">
        <v>30</v>
      </c>
      <c r="G73" s="4">
        <v>100</v>
      </c>
      <c r="H73" s="3">
        <f t="shared" si="11"/>
        <v>0</v>
      </c>
      <c r="I73" s="3">
        <f t="shared" si="12"/>
        <v>0</v>
      </c>
      <c r="J73" s="3">
        <f t="shared" si="13"/>
        <v>1</v>
      </c>
      <c r="K73" s="35">
        <f t="shared" si="14"/>
        <v>1</v>
      </c>
      <c r="L73" s="3">
        <v>70</v>
      </c>
      <c r="M73" s="35">
        <f t="shared" si="15"/>
        <v>79.091284585466894</v>
      </c>
      <c r="N73" s="35">
        <f t="shared" si="16"/>
        <v>1.2643618133669194</v>
      </c>
      <c r="O73" s="48">
        <f t="shared" si="17"/>
        <v>85.323466017333587</v>
      </c>
    </row>
    <row r="74" spans="2:15" x14ac:dyDescent="0.3">
      <c r="B74" s="9">
        <v>42409</v>
      </c>
      <c r="C74" s="3" t="s">
        <v>4</v>
      </c>
      <c r="D74" s="3" t="s">
        <v>11</v>
      </c>
      <c r="E74" s="3" t="s">
        <v>15</v>
      </c>
      <c r="F74" s="5" t="s">
        <v>13</v>
      </c>
      <c r="G74" s="4">
        <v>202</v>
      </c>
      <c r="H74" s="3">
        <f t="shared" si="11"/>
        <v>0</v>
      </c>
      <c r="I74" s="3">
        <f t="shared" si="12"/>
        <v>0</v>
      </c>
      <c r="J74" s="3">
        <f t="shared" si="13"/>
        <v>1</v>
      </c>
      <c r="K74" s="35">
        <f t="shared" si="14"/>
        <v>0</v>
      </c>
      <c r="L74" s="3">
        <v>71</v>
      </c>
      <c r="M74" s="35">
        <f t="shared" si="15"/>
        <v>156.30066260272707</v>
      </c>
      <c r="N74" s="35">
        <f t="shared" si="16"/>
        <v>1.2923809575486442</v>
      </c>
      <c r="O74" s="48">
        <f t="shared" si="17"/>
        <v>184.94564113340974</v>
      </c>
    </row>
    <row r="75" spans="2:15" x14ac:dyDescent="0.3">
      <c r="B75" s="9">
        <v>42410</v>
      </c>
      <c r="C75" s="3" t="s">
        <v>5</v>
      </c>
      <c r="D75" s="3" t="s">
        <v>11</v>
      </c>
      <c r="E75" s="3" t="s">
        <v>16</v>
      </c>
      <c r="F75" s="5" t="s">
        <v>30</v>
      </c>
      <c r="G75" s="4">
        <v>161</v>
      </c>
      <c r="H75" s="3">
        <f t="shared" si="11"/>
        <v>0</v>
      </c>
      <c r="I75" s="3">
        <f t="shared" si="12"/>
        <v>1</v>
      </c>
      <c r="J75" s="3">
        <f t="shared" si="13"/>
        <v>1</v>
      </c>
      <c r="K75" s="35">
        <f t="shared" si="14"/>
        <v>1</v>
      </c>
      <c r="L75" s="3">
        <v>72</v>
      </c>
      <c r="M75" s="35">
        <f t="shared" si="15"/>
        <v>138.04404943595318</v>
      </c>
      <c r="N75" s="35">
        <f t="shared" si="16"/>
        <v>1.1662943868847997</v>
      </c>
      <c r="O75" s="48">
        <f t="shared" si="17"/>
        <v>179.09147238585712</v>
      </c>
    </row>
    <row r="76" spans="2:15" x14ac:dyDescent="0.3">
      <c r="B76" s="9">
        <v>42411</v>
      </c>
      <c r="C76" s="3" t="s">
        <v>6</v>
      </c>
      <c r="D76" s="3" t="s">
        <v>11</v>
      </c>
      <c r="E76" s="3" t="s">
        <v>12</v>
      </c>
      <c r="F76" s="5" t="s">
        <v>13</v>
      </c>
      <c r="G76" s="4">
        <v>180</v>
      </c>
      <c r="H76" s="3">
        <f t="shared" si="11"/>
        <v>0</v>
      </c>
      <c r="I76" s="3">
        <f t="shared" si="12"/>
        <v>0</v>
      </c>
      <c r="J76" s="3">
        <f t="shared" si="13"/>
        <v>1</v>
      </c>
      <c r="K76" s="35">
        <f t="shared" si="14"/>
        <v>0</v>
      </c>
      <c r="L76" s="3">
        <v>73</v>
      </c>
      <c r="M76" s="35">
        <f t="shared" si="15"/>
        <v>157.29222933846052</v>
      </c>
      <c r="N76" s="35">
        <f t="shared" si="16"/>
        <v>1.1443667672398299</v>
      </c>
      <c r="O76" s="48">
        <f t="shared" si="17"/>
        <v>172.73968990869534</v>
      </c>
    </row>
    <row r="77" spans="2:15" x14ac:dyDescent="0.3">
      <c r="B77" s="9">
        <v>42412</v>
      </c>
      <c r="C77" s="3" t="s">
        <v>7</v>
      </c>
      <c r="D77" s="3" t="s">
        <v>11</v>
      </c>
      <c r="E77" s="3" t="s">
        <v>15</v>
      </c>
      <c r="F77" s="5" t="s">
        <v>13</v>
      </c>
      <c r="G77" s="4">
        <v>157</v>
      </c>
      <c r="H77" s="3">
        <f t="shared" si="11"/>
        <v>0</v>
      </c>
      <c r="I77" s="3">
        <f t="shared" si="12"/>
        <v>0</v>
      </c>
      <c r="J77" s="3">
        <f t="shared" si="13"/>
        <v>1</v>
      </c>
      <c r="K77" s="35">
        <f t="shared" si="14"/>
        <v>0</v>
      </c>
      <c r="L77" s="3">
        <v>74</v>
      </c>
      <c r="M77" s="35">
        <f t="shared" si="15"/>
        <v>157.78801270632721</v>
      </c>
      <c r="N77" s="35">
        <f t="shared" si="16"/>
        <v>0.99500587723483247</v>
      </c>
      <c r="O77" s="48">
        <f t="shared" si="17"/>
        <v>149.5107844484707</v>
      </c>
    </row>
    <row r="78" spans="2:15" x14ac:dyDescent="0.3">
      <c r="B78" s="9">
        <v>42413</v>
      </c>
      <c r="C78" s="3" t="s">
        <v>8</v>
      </c>
      <c r="D78" s="3" t="s">
        <v>11</v>
      </c>
      <c r="E78" s="3" t="s">
        <v>12</v>
      </c>
      <c r="F78" s="5" t="s">
        <v>13</v>
      </c>
      <c r="G78" s="4">
        <v>115</v>
      </c>
      <c r="H78" s="3">
        <f t="shared" si="11"/>
        <v>0</v>
      </c>
      <c r="I78" s="3">
        <f t="shared" si="12"/>
        <v>0</v>
      </c>
      <c r="J78" s="3">
        <f t="shared" si="13"/>
        <v>1</v>
      </c>
      <c r="K78" s="35">
        <f t="shared" si="14"/>
        <v>0</v>
      </c>
      <c r="L78" s="3">
        <v>75</v>
      </c>
      <c r="M78" s="35">
        <f t="shared" si="15"/>
        <v>158.28379607419393</v>
      </c>
      <c r="N78" s="35">
        <f t="shared" si="16"/>
        <v>0.72654310076121065</v>
      </c>
      <c r="O78" s="48">
        <f t="shared" si="17"/>
        <v>126.67481199560305</v>
      </c>
    </row>
    <row r="79" spans="2:15" x14ac:dyDescent="0.3">
      <c r="B79" s="9">
        <v>42414</v>
      </c>
      <c r="C79" s="3" t="s">
        <v>9</v>
      </c>
      <c r="D79" s="3" t="s">
        <v>11</v>
      </c>
      <c r="E79" s="3" t="s">
        <v>12</v>
      </c>
      <c r="F79" s="5" t="s">
        <v>30</v>
      </c>
      <c r="G79" s="4">
        <v>65</v>
      </c>
      <c r="H79" s="3">
        <f t="shared" si="11"/>
        <v>0</v>
      </c>
      <c r="I79" s="3">
        <f t="shared" si="12"/>
        <v>0</v>
      </c>
      <c r="J79" s="3">
        <f t="shared" si="13"/>
        <v>1</v>
      </c>
      <c r="K79" s="35">
        <f t="shared" si="14"/>
        <v>1</v>
      </c>
      <c r="L79" s="3">
        <v>76</v>
      </c>
      <c r="M79" s="35">
        <f t="shared" si="15"/>
        <v>82.065984792667166</v>
      </c>
      <c r="N79" s="35">
        <f t="shared" si="16"/>
        <v>0.7920455736224582</v>
      </c>
      <c r="O79" s="48">
        <f t="shared" si="17"/>
        <v>51.099525722316066</v>
      </c>
    </row>
    <row r="80" spans="2:15" x14ac:dyDescent="0.3">
      <c r="B80" s="9">
        <v>42415</v>
      </c>
      <c r="C80" s="3" t="s">
        <v>10</v>
      </c>
      <c r="D80" s="3" t="s">
        <v>11</v>
      </c>
      <c r="E80" s="3" t="s">
        <v>15</v>
      </c>
      <c r="F80" s="5" t="s">
        <v>30</v>
      </c>
      <c r="G80" s="4">
        <v>103</v>
      </c>
      <c r="H80" s="3">
        <f t="shared" si="11"/>
        <v>0</v>
      </c>
      <c r="I80" s="3">
        <f t="shared" si="12"/>
        <v>0</v>
      </c>
      <c r="J80" s="3">
        <f t="shared" si="13"/>
        <v>1</v>
      </c>
      <c r="K80" s="35">
        <f t="shared" si="14"/>
        <v>1</v>
      </c>
      <c r="L80" s="3">
        <v>77</v>
      </c>
      <c r="M80" s="35">
        <f t="shared" si="15"/>
        <v>82.561768160533887</v>
      </c>
      <c r="N80" s="35">
        <f t="shared" si="16"/>
        <v>1.2475508009921228</v>
      </c>
      <c r="O80" s="48">
        <f t="shared" si="17"/>
        <v>89.067414404730926</v>
      </c>
    </row>
    <row r="81" spans="2:15" x14ac:dyDescent="0.3">
      <c r="B81" s="9">
        <v>42416</v>
      </c>
      <c r="C81" s="3" t="s">
        <v>4</v>
      </c>
      <c r="D81" s="3" t="s">
        <v>11</v>
      </c>
      <c r="E81" s="3" t="s">
        <v>29</v>
      </c>
      <c r="F81" s="5" t="s">
        <v>13</v>
      </c>
      <c r="G81" s="4">
        <v>337</v>
      </c>
      <c r="H81" s="3">
        <f t="shared" si="11"/>
        <v>1</v>
      </c>
      <c r="I81" s="3">
        <f t="shared" si="12"/>
        <v>0</v>
      </c>
      <c r="J81" s="3">
        <f t="shared" si="13"/>
        <v>1</v>
      </c>
      <c r="K81" s="35">
        <f t="shared" si="14"/>
        <v>0</v>
      </c>
      <c r="L81" s="3">
        <v>78</v>
      </c>
      <c r="M81" s="35">
        <f t="shared" si="15"/>
        <v>258.43498842350834</v>
      </c>
      <c r="N81" s="35">
        <f t="shared" si="16"/>
        <v>1.3040029991904341</v>
      </c>
      <c r="O81" s="48">
        <f t="shared" si="17"/>
        <v>305.7979654684915</v>
      </c>
    </row>
    <row r="82" spans="2:15" x14ac:dyDescent="0.3">
      <c r="B82" s="9">
        <v>42417</v>
      </c>
      <c r="C82" s="3" t="s">
        <v>5</v>
      </c>
      <c r="D82" s="3" t="s">
        <v>11</v>
      </c>
      <c r="E82" s="3" t="s">
        <v>15</v>
      </c>
      <c r="F82" s="5" t="s">
        <v>13</v>
      </c>
      <c r="G82" s="4">
        <v>224</v>
      </c>
      <c r="H82" s="3">
        <f t="shared" si="11"/>
        <v>0</v>
      </c>
      <c r="I82" s="3">
        <f t="shared" si="12"/>
        <v>0</v>
      </c>
      <c r="J82" s="3">
        <f t="shared" si="13"/>
        <v>1</v>
      </c>
      <c r="K82" s="35">
        <f t="shared" si="14"/>
        <v>0</v>
      </c>
      <c r="L82" s="3">
        <v>79</v>
      </c>
      <c r="M82" s="35">
        <f t="shared" si="15"/>
        <v>160.26692954566079</v>
      </c>
      <c r="N82" s="35">
        <f t="shared" si="16"/>
        <v>1.3976682565455987</v>
      </c>
      <c r="O82" s="48">
        <f t="shared" si="17"/>
        <v>207.92232989665794</v>
      </c>
    </row>
    <row r="83" spans="2:15" x14ac:dyDescent="0.3">
      <c r="B83" s="9">
        <v>42418</v>
      </c>
      <c r="C83" s="3" t="s">
        <v>6</v>
      </c>
      <c r="D83" s="3" t="s">
        <v>11</v>
      </c>
      <c r="E83" s="3" t="s">
        <v>12</v>
      </c>
      <c r="F83" s="5" t="s">
        <v>13</v>
      </c>
      <c r="G83" s="4">
        <v>188</v>
      </c>
      <c r="H83" s="3">
        <f t="shared" si="11"/>
        <v>0</v>
      </c>
      <c r="I83" s="3">
        <f t="shared" si="12"/>
        <v>0</v>
      </c>
      <c r="J83" s="3">
        <f t="shared" si="13"/>
        <v>1</v>
      </c>
      <c r="K83" s="35">
        <f t="shared" si="14"/>
        <v>0</v>
      </c>
      <c r="L83" s="3">
        <v>80</v>
      </c>
      <c r="M83" s="35">
        <f t="shared" si="15"/>
        <v>160.76271291352748</v>
      </c>
      <c r="N83" s="35">
        <f t="shared" si="16"/>
        <v>1.1694254009082514</v>
      </c>
      <c r="O83" s="48">
        <f t="shared" si="17"/>
        <v>176.55100505828426</v>
      </c>
    </row>
    <row r="84" spans="2:15" x14ac:dyDescent="0.3">
      <c r="B84" s="9">
        <v>42419</v>
      </c>
      <c r="C84" s="3" t="s">
        <v>7</v>
      </c>
      <c r="D84" s="3" t="s">
        <v>11</v>
      </c>
      <c r="E84" s="3" t="s">
        <v>12</v>
      </c>
      <c r="F84" s="5" t="s">
        <v>13</v>
      </c>
      <c r="G84" s="4">
        <v>145</v>
      </c>
      <c r="H84" s="3">
        <f t="shared" si="11"/>
        <v>0</v>
      </c>
      <c r="I84" s="3">
        <f t="shared" si="12"/>
        <v>0</v>
      </c>
      <c r="J84" s="3">
        <f t="shared" si="13"/>
        <v>1</v>
      </c>
      <c r="K84" s="35">
        <f t="shared" si="14"/>
        <v>0</v>
      </c>
      <c r="L84" s="3">
        <v>81</v>
      </c>
      <c r="M84" s="35">
        <f t="shared" si="15"/>
        <v>161.2584962813942</v>
      </c>
      <c r="N84" s="35">
        <f t="shared" si="16"/>
        <v>0.89917742843748638</v>
      </c>
      <c r="O84" s="48">
        <f t="shared" si="17"/>
        <v>152.79921373295329</v>
      </c>
    </row>
    <row r="85" spans="2:15" x14ac:dyDescent="0.3">
      <c r="B85" s="9">
        <v>42420</v>
      </c>
      <c r="C85" s="3" t="s">
        <v>8</v>
      </c>
      <c r="D85" s="3" t="s">
        <v>14</v>
      </c>
      <c r="E85" s="3" t="s">
        <v>12</v>
      </c>
      <c r="F85" s="5" t="s">
        <v>13</v>
      </c>
      <c r="G85" s="4">
        <v>111</v>
      </c>
      <c r="H85" s="3">
        <f t="shared" si="11"/>
        <v>0</v>
      </c>
      <c r="I85" s="3">
        <f t="shared" si="12"/>
        <v>0</v>
      </c>
      <c r="J85" s="3">
        <f t="shared" si="13"/>
        <v>0</v>
      </c>
      <c r="K85" s="35">
        <f t="shared" si="14"/>
        <v>0</v>
      </c>
      <c r="L85" s="3">
        <v>82</v>
      </c>
      <c r="M85" s="35">
        <f t="shared" si="15"/>
        <v>141.65500827561638</v>
      </c>
      <c r="N85" s="35">
        <f t="shared" si="16"/>
        <v>0.78359389725232087</v>
      </c>
      <c r="O85" s="48">
        <f t="shared" si="17"/>
        <v>113.36676265420229</v>
      </c>
    </row>
    <row r="86" spans="2:15" x14ac:dyDescent="0.3">
      <c r="B86" s="9">
        <v>42421</v>
      </c>
      <c r="C86" s="3" t="s">
        <v>9</v>
      </c>
      <c r="D86" s="3" t="s">
        <v>14</v>
      </c>
      <c r="E86" s="3" t="s">
        <v>15</v>
      </c>
      <c r="F86" s="5" t="s">
        <v>13</v>
      </c>
      <c r="G86" s="4">
        <v>90</v>
      </c>
      <c r="H86" s="3">
        <f t="shared" si="11"/>
        <v>0</v>
      </c>
      <c r="I86" s="3">
        <f t="shared" si="12"/>
        <v>0</v>
      </c>
      <c r="J86" s="3">
        <f t="shared" si="13"/>
        <v>0</v>
      </c>
      <c r="K86" s="35">
        <f t="shared" si="14"/>
        <v>0</v>
      </c>
      <c r="L86" s="3">
        <v>83</v>
      </c>
      <c r="M86" s="35">
        <f t="shared" si="15"/>
        <v>142.1507916434831</v>
      </c>
      <c r="N86" s="35">
        <f t="shared" si="16"/>
        <v>0.63313048741734568</v>
      </c>
      <c r="O86" s="48">
        <f t="shared" si="17"/>
        <v>88.512165574875326</v>
      </c>
    </row>
    <row r="87" spans="2:15" x14ac:dyDescent="0.3">
      <c r="B87" s="9">
        <v>42422</v>
      </c>
      <c r="C87" s="3" t="s">
        <v>10</v>
      </c>
      <c r="D87" s="3" t="s">
        <v>14</v>
      </c>
      <c r="E87" s="3" t="s">
        <v>12</v>
      </c>
      <c r="F87" s="5" t="s">
        <v>13</v>
      </c>
      <c r="G87" s="4">
        <v>139</v>
      </c>
      <c r="H87" s="3">
        <f t="shared" si="11"/>
        <v>0</v>
      </c>
      <c r="I87" s="3">
        <f t="shared" si="12"/>
        <v>0</v>
      </c>
      <c r="J87" s="3">
        <f t="shared" si="13"/>
        <v>0</v>
      </c>
      <c r="K87" s="35">
        <f t="shared" si="14"/>
        <v>0</v>
      </c>
      <c r="L87" s="3">
        <v>84</v>
      </c>
      <c r="M87" s="35">
        <f t="shared" si="15"/>
        <v>142.6465750113498</v>
      </c>
      <c r="N87" s="35">
        <f t="shared" si="16"/>
        <v>0.97443629466000392</v>
      </c>
      <c r="O87" s="48">
        <f t="shared" si="17"/>
        <v>153.88674313814829</v>
      </c>
    </row>
    <row r="88" spans="2:15" x14ac:dyDescent="0.3">
      <c r="B88" s="9">
        <v>42423</v>
      </c>
      <c r="C88" s="3" t="s">
        <v>4</v>
      </c>
      <c r="D88" s="3" t="s">
        <v>11</v>
      </c>
      <c r="E88" s="3" t="s">
        <v>15</v>
      </c>
      <c r="F88" s="5" t="s">
        <v>13</v>
      </c>
      <c r="G88" s="4">
        <v>211</v>
      </c>
      <c r="H88" s="3">
        <f t="shared" si="11"/>
        <v>0</v>
      </c>
      <c r="I88" s="3">
        <f t="shared" si="12"/>
        <v>0</v>
      </c>
      <c r="J88" s="3">
        <f t="shared" si="13"/>
        <v>1</v>
      </c>
      <c r="K88" s="35">
        <f t="shared" si="14"/>
        <v>0</v>
      </c>
      <c r="L88" s="3">
        <v>85</v>
      </c>
      <c r="M88" s="35">
        <f t="shared" si="15"/>
        <v>163.24162975286106</v>
      </c>
      <c r="N88" s="35">
        <f t="shared" si="16"/>
        <v>1.2925624445151798</v>
      </c>
      <c r="O88" s="48">
        <f t="shared" si="17"/>
        <v>193.15866850188789</v>
      </c>
    </row>
    <row r="89" spans="2:15" x14ac:dyDescent="0.3">
      <c r="B89" s="9">
        <v>42424</v>
      </c>
      <c r="C89" s="3" t="s">
        <v>5</v>
      </c>
      <c r="D89" s="3" t="s">
        <v>11</v>
      </c>
      <c r="E89" s="3" t="s">
        <v>29</v>
      </c>
      <c r="F89" s="5" t="s">
        <v>13</v>
      </c>
      <c r="G89" s="4">
        <v>384</v>
      </c>
      <c r="H89" s="3">
        <f t="shared" si="11"/>
        <v>1</v>
      </c>
      <c r="I89" s="3">
        <f t="shared" si="12"/>
        <v>0</v>
      </c>
      <c r="J89" s="3">
        <f t="shared" si="13"/>
        <v>1</v>
      </c>
      <c r="K89" s="35">
        <f t="shared" si="14"/>
        <v>0</v>
      </c>
      <c r="L89" s="3">
        <v>86</v>
      </c>
      <c r="M89" s="35">
        <f t="shared" si="15"/>
        <v>262.40125536644206</v>
      </c>
      <c r="N89" s="35">
        <f t="shared" si="16"/>
        <v>1.4634076329541408</v>
      </c>
      <c r="O89" s="48">
        <f t="shared" si="17"/>
        <v>340.4263158860507</v>
      </c>
    </row>
    <row r="90" spans="2:15" x14ac:dyDescent="0.3">
      <c r="B90" s="9">
        <v>42425</v>
      </c>
      <c r="C90" s="3" t="s">
        <v>6</v>
      </c>
      <c r="D90" s="3" t="s">
        <v>14</v>
      </c>
      <c r="E90" s="3" t="s">
        <v>15</v>
      </c>
      <c r="F90" s="5" t="s">
        <v>13</v>
      </c>
      <c r="G90" s="4">
        <v>185</v>
      </c>
      <c r="H90" s="3">
        <f t="shared" si="11"/>
        <v>0</v>
      </c>
      <c r="I90" s="3">
        <f t="shared" si="12"/>
        <v>0</v>
      </c>
      <c r="J90" s="3">
        <f t="shared" si="13"/>
        <v>0</v>
      </c>
      <c r="K90" s="35">
        <f t="shared" si="14"/>
        <v>0</v>
      </c>
      <c r="L90" s="3">
        <v>87</v>
      </c>
      <c r="M90" s="35">
        <f t="shared" si="15"/>
        <v>144.13392511494993</v>
      </c>
      <c r="N90" s="35">
        <f t="shared" si="16"/>
        <v>1.2835284951301957</v>
      </c>
      <c r="O90" s="48">
        <f t="shared" si="17"/>
        <v>158.28912613416489</v>
      </c>
    </row>
    <row r="91" spans="2:15" x14ac:dyDescent="0.3">
      <c r="B91" s="9">
        <v>42426</v>
      </c>
      <c r="C91" s="3" t="s">
        <v>7</v>
      </c>
      <c r="D91" s="3" t="s">
        <v>11</v>
      </c>
      <c r="E91" s="3" t="s">
        <v>12</v>
      </c>
      <c r="F91" s="5" t="s">
        <v>13</v>
      </c>
      <c r="G91" s="4">
        <v>147</v>
      </c>
      <c r="H91" s="3">
        <f t="shared" si="11"/>
        <v>0</v>
      </c>
      <c r="I91" s="3">
        <f t="shared" si="12"/>
        <v>0</v>
      </c>
      <c r="J91" s="3">
        <f t="shared" si="13"/>
        <v>1</v>
      </c>
      <c r="K91" s="35">
        <f t="shared" si="14"/>
        <v>0</v>
      </c>
      <c r="L91" s="3">
        <v>88</v>
      </c>
      <c r="M91" s="35">
        <f t="shared" si="15"/>
        <v>164.72897985646119</v>
      </c>
      <c r="N91" s="35">
        <f t="shared" si="16"/>
        <v>0.89237485795207627</v>
      </c>
      <c r="O91" s="48">
        <f t="shared" si="17"/>
        <v>156.08764301743588</v>
      </c>
    </row>
    <row r="92" spans="2:15" x14ac:dyDescent="0.3">
      <c r="B92" s="9">
        <v>42427</v>
      </c>
      <c r="C92" s="3" t="s">
        <v>8</v>
      </c>
      <c r="D92" s="3" t="s">
        <v>11</v>
      </c>
      <c r="E92" s="3" t="s">
        <v>15</v>
      </c>
      <c r="F92" s="5" t="s">
        <v>13</v>
      </c>
      <c r="G92" s="4">
        <v>136</v>
      </c>
      <c r="H92" s="3">
        <f t="shared" si="11"/>
        <v>0</v>
      </c>
      <c r="I92" s="3">
        <f t="shared" si="12"/>
        <v>0</v>
      </c>
      <c r="J92" s="3">
        <f t="shared" si="13"/>
        <v>1</v>
      </c>
      <c r="K92" s="35">
        <f t="shared" si="14"/>
        <v>0</v>
      </c>
      <c r="L92" s="3">
        <v>89</v>
      </c>
      <c r="M92" s="35">
        <f t="shared" si="15"/>
        <v>165.22476322432789</v>
      </c>
      <c r="N92" s="35">
        <f t="shared" si="16"/>
        <v>0.82312116746901287</v>
      </c>
      <c r="O92" s="48">
        <f t="shared" si="17"/>
        <v>132.22968072265039</v>
      </c>
    </row>
    <row r="93" spans="2:15" x14ac:dyDescent="0.3">
      <c r="B93" s="9">
        <v>42428</v>
      </c>
      <c r="C93" s="3" t="s">
        <v>9</v>
      </c>
      <c r="D93" s="3" t="s">
        <v>11</v>
      </c>
      <c r="E93" s="3" t="s">
        <v>15</v>
      </c>
      <c r="F93" s="5" t="s">
        <v>13</v>
      </c>
      <c r="G93" s="4">
        <v>102</v>
      </c>
      <c r="H93" s="3">
        <f t="shared" si="11"/>
        <v>0</v>
      </c>
      <c r="I93" s="3">
        <f t="shared" si="12"/>
        <v>0</v>
      </c>
      <c r="J93" s="3">
        <f t="shared" si="13"/>
        <v>1</v>
      </c>
      <c r="K93" s="35">
        <f t="shared" si="14"/>
        <v>0</v>
      </c>
      <c r="L93" s="3">
        <v>90</v>
      </c>
      <c r="M93" s="35">
        <f t="shared" si="15"/>
        <v>165.72054659219461</v>
      </c>
      <c r="N93" s="35">
        <f t="shared" si="16"/>
        <v>0.61549398730262317</v>
      </c>
      <c r="O93" s="48">
        <f t="shared" si="17"/>
        <v>103.18820099092736</v>
      </c>
    </row>
    <row r="94" spans="2:15" x14ac:dyDescent="0.3">
      <c r="B94" s="9">
        <v>42429</v>
      </c>
      <c r="C94" s="3" t="s">
        <v>10</v>
      </c>
      <c r="D94" s="3" t="s">
        <v>14</v>
      </c>
      <c r="E94" s="3" t="s">
        <v>15</v>
      </c>
      <c r="F94" s="5" t="s">
        <v>13</v>
      </c>
      <c r="G94" s="4">
        <v>160</v>
      </c>
      <c r="H94" s="3">
        <f t="shared" si="11"/>
        <v>0</v>
      </c>
      <c r="I94" s="3">
        <f t="shared" si="12"/>
        <v>0</v>
      </c>
      <c r="J94" s="3">
        <f t="shared" si="13"/>
        <v>0</v>
      </c>
      <c r="K94" s="35">
        <f t="shared" si="14"/>
        <v>0</v>
      </c>
      <c r="L94" s="3">
        <v>91</v>
      </c>
      <c r="M94" s="35">
        <f t="shared" si="15"/>
        <v>146.11705858641679</v>
      </c>
      <c r="N94" s="35">
        <f t="shared" si="16"/>
        <v>1.0950124615694514</v>
      </c>
      <c r="O94" s="48">
        <f t="shared" si="17"/>
        <v>157.63069152554561</v>
      </c>
    </row>
    <row r="95" spans="2:15" x14ac:dyDescent="0.3">
      <c r="B95" s="9">
        <v>42430</v>
      </c>
      <c r="C95" s="3" t="s">
        <v>4</v>
      </c>
      <c r="D95" s="3" t="s">
        <v>11</v>
      </c>
      <c r="E95" s="3" t="s">
        <v>12</v>
      </c>
      <c r="F95" s="5" t="s">
        <v>13</v>
      </c>
      <c r="G95" s="4">
        <v>127</v>
      </c>
      <c r="H95" s="3">
        <f t="shared" si="11"/>
        <v>0</v>
      </c>
      <c r="I95" s="3">
        <f t="shared" si="12"/>
        <v>0</v>
      </c>
      <c r="J95" s="3">
        <f t="shared" si="13"/>
        <v>1</v>
      </c>
      <c r="K95" s="35">
        <f t="shared" si="14"/>
        <v>0</v>
      </c>
      <c r="L95" s="3">
        <v>92</v>
      </c>
      <c r="M95" s="35">
        <f t="shared" si="15"/>
        <v>166.71211332792802</v>
      </c>
      <c r="N95" s="35">
        <f t="shared" si="16"/>
        <v>0.7617922745072937</v>
      </c>
      <c r="O95" s="48">
        <f t="shared" si="17"/>
        <v>197.26518218612694</v>
      </c>
    </row>
    <row r="96" spans="2:15" x14ac:dyDescent="0.3">
      <c r="B96" s="9">
        <v>42431</v>
      </c>
      <c r="C96" s="3" t="s">
        <v>5</v>
      </c>
      <c r="D96" s="3" t="s">
        <v>14</v>
      </c>
      <c r="E96" s="3" t="s">
        <v>15</v>
      </c>
      <c r="F96" s="5" t="s">
        <v>13</v>
      </c>
      <c r="G96" s="4">
        <v>239</v>
      </c>
      <c r="H96" s="3">
        <f t="shared" si="11"/>
        <v>0</v>
      </c>
      <c r="I96" s="3">
        <f t="shared" si="12"/>
        <v>0</v>
      </c>
      <c r="J96" s="3">
        <f t="shared" si="13"/>
        <v>0</v>
      </c>
      <c r="K96" s="35">
        <f t="shared" si="14"/>
        <v>0</v>
      </c>
      <c r="L96" s="3">
        <v>93</v>
      </c>
      <c r="M96" s="35">
        <f t="shared" si="15"/>
        <v>147.1086253221502</v>
      </c>
      <c r="N96" s="35">
        <f t="shared" si="16"/>
        <v>1.624649808783263</v>
      </c>
      <c r="O96" s="48">
        <f t="shared" si="17"/>
        <v>190.85140154358257</v>
      </c>
    </row>
    <row r="97" spans="2:15" x14ac:dyDescent="0.3">
      <c r="B97" s="9">
        <v>42432</v>
      </c>
      <c r="C97" s="3" t="s">
        <v>6</v>
      </c>
      <c r="D97" s="3" t="s">
        <v>11</v>
      </c>
      <c r="E97" s="3" t="s">
        <v>15</v>
      </c>
      <c r="F97" s="5" t="s">
        <v>13</v>
      </c>
      <c r="G97" s="4">
        <v>124</v>
      </c>
      <c r="H97" s="3">
        <f t="shared" si="11"/>
        <v>0</v>
      </c>
      <c r="I97" s="3">
        <f t="shared" si="12"/>
        <v>0</v>
      </c>
      <c r="J97" s="3">
        <f t="shared" si="13"/>
        <v>1</v>
      </c>
      <c r="K97" s="35">
        <f t="shared" si="14"/>
        <v>0</v>
      </c>
      <c r="L97" s="3">
        <v>94</v>
      </c>
      <c r="M97" s="35">
        <f t="shared" si="15"/>
        <v>167.70368006366147</v>
      </c>
      <c r="N97" s="35">
        <f t="shared" si="16"/>
        <v>0.73939939751428685</v>
      </c>
      <c r="O97" s="48">
        <f t="shared" si="17"/>
        <v>184.17363535746213</v>
      </c>
    </row>
    <row r="98" spans="2:15" x14ac:dyDescent="0.3">
      <c r="B98" s="9">
        <v>42433</v>
      </c>
      <c r="C98" s="3" t="s">
        <v>7</v>
      </c>
      <c r="D98" s="3" t="s">
        <v>11</v>
      </c>
      <c r="E98" s="3" t="s">
        <v>16</v>
      </c>
      <c r="F98" s="5" t="s">
        <v>13</v>
      </c>
      <c r="G98" s="4">
        <v>138</v>
      </c>
      <c r="H98" s="3">
        <f t="shared" si="11"/>
        <v>0</v>
      </c>
      <c r="I98" s="3">
        <f t="shared" si="12"/>
        <v>1</v>
      </c>
      <c r="J98" s="3">
        <f t="shared" si="13"/>
        <v>1</v>
      </c>
      <c r="K98" s="35">
        <f t="shared" si="14"/>
        <v>0</v>
      </c>
      <c r="L98" s="3">
        <v>95</v>
      </c>
      <c r="M98" s="35">
        <f t="shared" si="15"/>
        <v>226.16066154628106</v>
      </c>
      <c r="N98" s="35">
        <f t="shared" si="16"/>
        <v>0.61018569302230286</v>
      </c>
      <c r="O98" s="48">
        <f t="shared" si="17"/>
        <v>214.29674751086881</v>
      </c>
    </row>
    <row r="99" spans="2:15" x14ac:dyDescent="0.3">
      <c r="B99" s="9">
        <v>42434</v>
      </c>
      <c r="C99" s="3" t="s">
        <v>8</v>
      </c>
      <c r="D99" s="3" t="s">
        <v>11</v>
      </c>
      <c r="E99" s="3" t="s">
        <v>12</v>
      </c>
      <c r="F99" s="5" t="s">
        <v>13</v>
      </c>
      <c r="G99" s="4">
        <v>204</v>
      </c>
      <c r="H99" s="3">
        <f t="shared" si="11"/>
        <v>0</v>
      </c>
      <c r="I99" s="3">
        <f t="shared" si="12"/>
        <v>0</v>
      </c>
      <c r="J99" s="3">
        <f t="shared" si="13"/>
        <v>1</v>
      </c>
      <c r="K99" s="35">
        <f t="shared" si="14"/>
        <v>0</v>
      </c>
      <c r="L99" s="3">
        <v>96</v>
      </c>
      <c r="M99" s="35">
        <f t="shared" si="15"/>
        <v>168.69524679939488</v>
      </c>
      <c r="N99" s="35">
        <f t="shared" si="16"/>
        <v>1.209281256410194</v>
      </c>
      <c r="O99" s="48">
        <f t="shared" si="17"/>
        <v>135.00711508617405</v>
      </c>
    </row>
    <row r="100" spans="2:15" x14ac:dyDescent="0.3">
      <c r="B100" s="9">
        <v>42435</v>
      </c>
      <c r="C100" s="3" t="s">
        <v>9</v>
      </c>
      <c r="D100" s="3" t="s">
        <v>11</v>
      </c>
      <c r="E100" s="3" t="s">
        <v>12</v>
      </c>
      <c r="F100" s="5" t="s">
        <v>13</v>
      </c>
      <c r="G100" s="4">
        <v>181</v>
      </c>
      <c r="H100" s="3">
        <f t="shared" ref="H100:H138" si="18">IF(E100=$H$3,1,0)</f>
        <v>0</v>
      </c>
      <c r="I100" s="3">
        <f t="shared" ref="I100:I138" si="19">IF(E100=$I$3,1,0)</f>
        <v>0</v>
      </c>
      <c r="J100" s="3">
        <f t="shared" ref="J100:J138" si="20">IF(D100=J$3,1,0)</f>
        <v>1</v>
      </c>
      <c r="K100" s="35">
        <f t="shared" ref="K100:K138" si="21">IF(F100="Yes",1,0)</f>
        <v>0</v>
      </c>
      <c r="L100" s="3">
        <v>97</v>
      </c>
      <c r="M100" s="35">
        <f t="shared" si="15"/>
        <v>169.1910301672616</v>
      </c>
      <c r="N100" s="35">
        <f t="shared" si="16"/>
        <v>1.0697966660588571</v>
      </c>
      <c r="O100" s="48">
        <f t="shared" si="17"/>
        <v>105.34914581064828</v>
      </c>
    </row>
    <row r="101" spans="2:15" x14ac:dyDescent="0.3">
      <c r="B101" s="9">
        <v>42436</v>
      </c>
      <c r="C101" s="3" t="s">
        <v>10</v>
      </c>
      <c r="D101" s="3" t="s">
        <v>14</v>
      </c>
      <c r="E101" s="3" t="s">
        <v>15</v>
      </c>
      <c r="F101" s="5" t="s">
        <v>13</v>
      </c>
      <c r="G101" s="4">
        <v>91</v>
      </c>
      <c r="H101" s="3">
        <f t="shared" si="18"/>
        <v>0</v>
      </c>
      <c r="I101" s="3">
        <f t="shared" si="19"/>
        <v>0</v>
      </c>
      <c r="J101" s="3">
        <f t="shared" si="20"/>
        <v>0</v>
      </c>
      <c r="K101" s="35">
        <f t="shared" si="21"/>
        <v>0</v>
      </c>
      <c r="L101" s="3">
        <v>98</v>
      </c>
      <c r="M101" s="35">
        <f t="shared" si="15"/>
        <v>149.58754216148378</v>
      </c>
      <c r="N101" s="35">
        <f t="shared" si="16"/>
        <v>0.60833942910675709</v>
      </c>
      <c r="O101" s="48">
        <f t="shared" si="17"/>
        <v>161.37463991294297</v>
      </c>
    </row>
    <row r="102" spans="2:15" x14ac:dyDescent="0.3">
      <c r="B102" s="9">
        <v>42437</v>
      </c>
      <c r="C102" s="3" t="s">
        <v>4</v>
      </c>
      <c r="D102" s="3" t="s">
        <v>26</v>
      </c>
      <c r="E102" s="3" t="s">
        <v>15</v>
      </c>
      <c r="F102" s="5" t="s">
        <v>13</v>
      </c>
      <c r="G102" s="4">
        <v>150</v>
      </c>
      <c r="H102" s="3">
        <f t="shared" si="18"/>
        <v>0</v>
      </c>
      <c r="I102" s="3">
        <f t="shared" si="19"/>
        <v>0</v>
      </c>
      <c r="J102" s="3">
        <f t="shared" si="20"/>
        <v>0</v>
      </c>
      <c r="K102" s="35">
        <f t="shared" si="21"/>
        <v>0</v>
      </c>
      <c r="L102" s="3">
        <v>99</v>
      </c>
      <c r="M102" s="35">
        <f t="shared" si="15"/>
        <v>150.08332552935047</v>
      </c>
      <c r="N102" s="35">
        <f t="shared" si="16"/>
        <v>0.99944480488384313</v>
      </c>
      <c r="O102" s="48">
        <f t="shared" si="17"/>
        <v>177.58886239664392</v>
      </c>
    </row>
    <row r="103" spans="2:15" x14ac:dyDescent="0.3">
      <c r="B103" s="9">
        <v>42438</v>
      </c>
      <c r="C103" s="3" t="s">
        <v>5</v>
      </c>
      <c r="D103" s="3" t="s">
        <v>26</v>
      </c>
      <c r="E103" s="3" t="s">
        <v>12</v>
      </c>
      <c r="F103" s="5" t="s">
        <v>13</v>
      </c>
      <c r="G103" s="4">
        <v>155</v>
      </c>
      <c r="H103" s="3">
        <f t="shared" si="18"/>
        <v>0</v>
      </c>
      <c r="I103" s="3">
        <f t="shared" si="19"/>
        <v>0</v>
      </c>
      <c r="J103" s="3">
        <f t="shared" si="20"/>
        <v>0</v>
      </c>
      <c r="K103" s="35">
        <f t="shared" si="21"/>
        <v>0</v>
      </c>
      <c r="L103" s="3">
        <v>100</v>
      </c>
      <c r="M103" s="35">
        <f t="shared" si="15"/>
        <v>150.5791088972172</v>
      </c>
      <c r="N103" s="35">
        <f t="shared" si="16"/>
        <v>1.0293592592967225</v>
      </c>
      <c r="O103" s="48">
        <f t="shared" si="17"/>
        <v>195.35383403443794</v>
      </c>
    </row>
    <row r="104" spans="2:15" x14ac:dyDescent="0.3">
      <c r="B104" s="9">
        <v>42439</v>
      </c>
      <c r="C104" s="3" t="s">
        <v>6</v>
      </c>
      <c r="D104" s="3" t="s">
        <v>31</v>
      </c>
      <c r="E104" s="3" t="s">
        <v>15</v>
      </c>
      <c r="F104" s="5" t="s">
        <v>13</v>
      </c>
      <c r="G104" s="4">
        <v>149</v>
      </c>
      <c r="H104" s="3">
        <f t="shared" si="18"/>
        <v>0</v>
      </c>
      <c r="I104" s="3">
        <f t="shared" si="19"/>
        <v>0</v>
      </c>
      <c r="J104" s="3">
        <f t="shared" si="20"/>
        <v>0</v>
      </c>
      <c r="K104" s="35">
        <f t="shared" si="21"/>
        <v>0</v>
      </c>
      <c r="L104" s="3">
        <v>101</v>
      </c>
      <c r="M104" s="35">
        <f t="shared" si="15"/>
        <v>151.07489226508392</v>
      </c>
      <c r="N104" s="35">
        <f t="shared" si="16"/>
        <v>0.98626580344374359</v>
      </c>
      <c r="O104" s="48">
        <f t="shared" si="17"/>
        <v>165.91175643334276</v>
      </c>
    </row>
    <row r="105" spans="2:15" x14ac:dyDescent="0.3">
      <c r="B105" s="9">
        <v>42440</v>
      </c>
      <c r="C105" s="3" t="s">
        <v>7</v>
      </c>
      <c r="D105" s="3" t="s">
        <v>14</v>
      </c>
      <c r="E105" s="3" t="s">
        <v>15</v>
      </c>
      <c r="F105" s="5" t="s">
        <v>13</v>
      </c>
      <c r="G105" s="4">
        <v>154</v>
      </c>
      <c r="H105" s="3">
        <f t="shared" si="18"/>
        <v>0</v>
      </c>
      <c r="I105" s="3">
        <f t="shared" si="19"/>
        <v>0</v>
      </c>
      <c r="J105" s="3">
        <f t="shared" si="20"/>
        <v>0</v>
      </c>
      <c r="K105" s="35">
        <f t="shared" si="21"/>
        <v>0</v>
      </c>
      <c r="L105" s="3">
        <v>102</v>
      </c>
      <c r="M105" s="35">
        <f t="shared" si="15"/>
        <v>151.57067563295061</v>
      </c>
      <c r="N105" s="35">
        <f t="shared" si="16"/>
        <v>1.016027667336737</v>
      </c>
      <c r="O105" s="48">
        <f t="shared" si="17"/>
        <v>143.61959583992171</v>
      </c>
    </row>
    <row r="106" spans="2:15" x14ac:dyDescent="0.3">
      <c r="B106" s="9">
        <v>42441</v>
      </c>
      <c r="C106" s="3" t="s">
        <v>8</v>
      </c>
      <c r="D106" s="3" t="s">
        <v>26</v>
      </c>
      <c r="E106" s="3" t="s">
        <v>15</v>
      </c>
      <c r="F106" s="5" t="s">
        <v>13</v>
      </c>
      <c r="G106" s="4">
        <v>115</v>
      </c>
      <c r="H106" s="3">
        <f t="shared" si="18"/>
        <v>0</v>
      </c>
      <c r="I106" s="3">
        <f t="shared" si="19"/>
        <v>0</v>
      </c>
      <c r="J106" s="3">
        <f t="shared" si="20"/>
        <v>0</v>
      </c>
      <c r="K106" s="35">
        <f t="shared" si="21"/>
        <v>0</v>
      </c>
      <c r="L106" s="3">
        <v>103</v>
      </c>
      <c r="M106" s="35">
        <f t="shared" si="15"/>
        <v>152.06645900081733</v>
      </c>
      <c r="N106" s="35">
        <f t="shared" si="16"/>
        <v>0.75624829272431404</v>
      </c>
      <c r="O106" s="48">
        <f t="shared" si="17"/>
        <v>121.69906574477329</v>
      </c>
    </row>
    <row r="107" spans="2:15" x14ac:dyDescent="0.3">
      <c r="B107" s="9">
        <v>42442</v>
      </c>
      <c r="C107" s="3" t="s">
        <v>9</v>
      </c>
      <c r="D107" s="3" t="s">
        <v>26</v>
      </c>
      <c r="E107" s="3" t="s">
        <v>12</v>
      </c>
      <c r="F107" s="5" t="s">
        <v>13</v>
      </c>
      <c r="G107" s="4">
        <v>84</v>
      </c>
      <c r="H107" s="3">
        <f t="shared" si="18"/>
        <v>0</v>
      </c>
      <c r="I107" s="3">
        <f t="shared" si="19"/>
        <v>0</v>
      </c>
      <c r="J107" s="3">
        <f t="shared" si="20"/>
        <v>0</v>
      </c>
      <c r="K107" s="35">
        <f t="shared" si="21"/>
        <v>0</v>
      </c>
      <c r="L107" s="3">
        <v>104</v>
      </c>
      <c r="M107" s="35">
        <f t="shared" si="15"/>
        <v>152.56224236868405</v>
      </c>
      <c r="N107" s="35">
        <f t="shared" si="16"/>
        <v>0.55059494863089664</v>
      </c>
      <c r="O107" s="48">
        <f t="shared" si="17"/>
        <v>94.995000034038114</v>
      </c>
    </row>
    <row r="108" spans="2:15" x14ac:dyDescent="0.3">
      <c r="B108" s="9">
        <v>42443</v>
      </c>
      <c r="C108" s="3" t="s">
        <v>10</v>
      </c>
      <c r="D108" s="3" t="s">
        <v>11</v>
      </c>
      <c r="E108" s="3" t="s">
        <v>16</v>
      </c>
      <c r="F108" s="5" t="s">
        <v>13</v>
      </c>
      <c r="G108" s="4">
        <v>278</v>
      </c>
      <c r="H108" s="3">
        <f t="shared" si="18"/>
        <v>0</v>
      </c>
      <c r="I108" s="3">
        <f t="shared" si="19"/>
        <v>1</v>
      </c>
      <c r="J108" s="3">
        <f t="shared" si="20"/>
        <v>1</v>
      </c>
      <c r="K108" s="35">
        <f t="shared" si="21"/>
        <v>0</v>
      </c>
      <c r="L108" s="3">
        <v>105</v>
      </c>
      <c r="M108" s="35">
        <f t="shared" si="15"/>
        <v>231.11849522494816</v>
      </c>
      <c r="N108" s="35">
        <f t="shared" si="16"/>
        <v>1.2028461838565623</v>
      </c>
      <c r="O108" s="48">
        <f t="shared" si="17"/>
        <v>249.33001375130883</v>
      </c>
    </row>
    <row r="109" spans="2:15" x14ac:dyDescent="0.3">
      <c r="B109" s="9">
        <v>42444</v>
      </c>
      <c r="C109" s="3" t="s">
        <v>4</v>
      </c>
      <c r="D109" s="3" t="s">
        <v>14</v>
      </c>
      <c r="E109" s="3" t="s">
        <v>16</v>
      </c>
      <c r="F109" s="5" t="s">
        <v>13</v>
      </c>
      <c r="G109" s="4">
        <v>284</v>
      </c>
      <c r="H109" s="3">
        <f t="shared" si="18"/>
        <v>0</v>
      </c>
      <c r="I109" s="3">
        <f t="shared" si="19"/>
        <v>1</v>
      </c>
      <c r="J109" s="3">
        <f t="shared" si="20"/>
        <v>0</v>
      </c>
      <c r="K109" s="35">
        <f t="shared" si="21"/>
        <v>0</v>
      </c>
      <c r="L109" s="3">
        <v>106</v>
      </c>
      <c r="M109" s="35">
        <f t="shared" si="15"/>
        <v>211.51500721917034</v>
      </c>
      <c r="N109" s="35">
        <f t="shared" si="16"/>
        <v>1.3426943257303783</v>
      </c>
      <c r="O109" s="48">
        <f t="shared" si="17"/>
        <v>250.27903252666519</v>
      </c>
    </row>
    <row r="110" spans="2:15" x14ac:dyDescent="0.3">
      <c r="B110" s="9">
        <v>42445</v>
      </c>
      <c r="C110" s="3" t="s">
        <v>5</v>
      </c>
      <c r="D110" s="3" t="s">
        <v>14</v>
      </c>
      <c r="E110" s="3" t="s">
        <v>15</v>
      </c>
      <c r="F110" s="5" t="s">
        <v>13</v>
      </c>
      <c r="G110" s="4">
        <v>210</v>
      </c>
      <c r="H110" s="3">
        <f t="shared" si="18"/>
        <v>0</v>
      </c>
      <c r="I110" s="3">
        <f t="shared" si="19"/>
        <v>0</v>
      </c>
      <c r="J110" s="3">
        <f t="shared" si="20"/>
        <v>0</v>
      </c>
      <c r="K110" s="35">
        <f t="shared" si="21"/>
        <v>0</v>
      </c>
      <c r="L110" s="3">
        <v>107</v>
      </c>
      <c r="M110" s="35">
        <f t="shared" si="15"/>
        <v>154.04959247228419</v>
      </c>
      <c r="N110" s="35">
        <f t="shared" si="16"/>
        <v>1.3631973744934256</v>
      </c>
      <c r="O110" s="48">
        <f t="shared" si="17"/>
        <v>199.85626652529331</v>
      </c>
    </row>
    <row r="111" spans="2:15" x14ac:dyDescent="0.3">
      <c r="B111" s="9">
        <v>42446</v>
      </c>
      <c r="C111" s="3" t="s">
        <v>6</v>
      </c>
      <c r="D111" s="3" t="s">
        <v>14</v>
      </c>
      <c r="E111" s="3" t="s">
        <v>29</v>
      </c>
      <c r="F111" s="5" t="s">
        <v>30</v>
      </c>
      <c r="G111" s="4">
        <v>161</v>
      </c>
      <c r="H111" s="3">
        <f t="shared" si="18"/>
        <v>1</v>
      </c>
      <c r="I111" s="3">
        <f t="shared" si="19"/>
        <v>0</v>
      </c>
      <c r="J111" s="3">
        <f t="shared" si="20"/>
        <v>0</v>
      </c>
      <c r="K111" s="35">
        <f t="shared" si="21"/>
        <v>1</v>
      </c>
      <c r="L111" s="3">
        <v>108</v>
      </c>
      <c r="M111" s="35">
        <f t="shared" si="15"/>
        <v>176.49562343647173</v>
      </c>
      <c r="N111" s="35">
        <f t="shared" si="16"/>
        <v>0.91220392248395177</v>
      </c>
      <c r="O111" s="48">
        <f t="shared" si="17"/>
        <v>193.82902379147109</v>
      </c>
    </row>
    <row r="112" spans="2:15" x14ac:dyDescent="0.3">
      <c r="B112" s="9">
        <v>42447</v>
      </c>
      <c r="C112" s="3" t="s">
        <v>7</v>
      </c>
      <c r="D112" s="3" t="s">
        <v>14</v>
      </c>
      <c r="E112" s="3" t="s">
        <v>15</v>
      </c>
      <c r="F112" s="5" t="s">
        <v>13</v>
      </c>
      <c r="G112" s="4">
        <v>152</v>
      </c>
      <c r="H112" s="3">
        <f t="shared" si="18"/>
        <v>0</v>
      </c>
      <c r="I112" s="3">
        <f t="shared" si="19"/>
        <v>0</v>
      </c>
      <c r="J112" s="3">
        <f t="shared" si="20"/>
        <v>0</v>
      </c>
      <c r="K112" s="35">
        <f t="shared" si="21"/>
        <v>0</v>
      </c>
      <c r="L112" s="3">
        <v>109</v>
      </c>
      <c r="M112" s="35">
        <f t="shared" si="15"/>
        <v>155.0411592080176</v>
      </c>
      <c r="N112" s="35">
        <f t="shared" si="16"/>
        <v>0.98038482669019966</v>
      </c>
      <c r="O112" s="48">
        <f t="shared" si="17"/>
        <v>146.90802512440433</v>
      </c>
    </row>
    <row r="113" spans="2:15" x14ac:dyDescent="0.3">
      <c r="B113" s="9">
        <v>42448</v>
      </c>
      <c r="C113" s="3" t="s">
        <v>8</v>
      </c>
      <c r="D113" s="3" t="s">
        <v>11</v>
      </c>
      <c r="E113" s="3" t="s">
        <v>12</v>
      </c>
      <c r="F113" s="5" t="s">
        <v>13</v>
      </c>
      <c r="G113" s="4">
        <v>132</v>
      </c>
      <c r="H113" s="3">
        <f t="shared" si="18"/>
        <v>0</v>
      </c>
      <c r="I113" s="3">
        <f t="shared" si="19"/>
        <v>0</v>
      </c>
      <c r="J113" s="3">
        <f t="shared" si="20"/>
        <v>1</v>
      </c>
      <c r="K113" s="35">
        <f t="shared" si="21"/>
        <v>0</v>
      </c>
      <c r="L113" s="3">
        <v>110</v>
      </c>
      <c r="M113" s="35">
        <f t="shared" si="15"/>
        <v>175.63621394952887</v>
      </c>
      <c r="N113" s="35">
        <f t="shared" si="16"/>
        <v>0.75155343554565435</v>
      </c>
      <c r="O113" s="48">
        <f t="shared" si="17"/>
        <v>140.56198381322139</v>
      </c>
    </row>
    <row r="114" spans="2:15" x14ac:dyDescent="0.3">
      <c r="B114" s="9">
        <v>42449</v>
      </c>
      <c r="C114" s="3" t="s">
        <v>9</v>
      </c>
      <c r="D114" s="3" t="s">
        <v>11</v>
      </c>
      <c r="E114" s="3" t="s">
        <v>12</v>
      </c>
      <c r="F114" s="5" t="s">
        <v>13</v>
      </c>
      <c r="G114" s="4">
        <v>100</v>
      </c>
      <c r="H114" s="3">
        <f t="shared" si="18"/>
        <v>0</v>
      </c>
      <c r="I114" s="3">
        <f t="shared" si="19"/>
        <v>0</v>
      </c>
      <c r="J114" s="3">
        <f t="shared" si="20"/>
        <v>1</v>
      </c>
      <c r="K114" s="35">
        <f t="shared" si="21"/>
        <v>0</v>
      </c>
      <c r="L114" s="3">
        <v>111</v>
      </c>
      <c r="M114" s="35">
        <f t="shared" si="15"/>
        <v>176.13199731739559</v>
      </c>
      <c r="N114" s="35">
        <f t="shared" si="16"/>
        <v>0.56775600982822416</v>
      </c>
      <c r="O114" s="48">
        <f t="shared" si="17"/>
        <v>109.67103545009016</v>
      </c>
    </row>
    <row r="115" spans="2:15" x14ac:dyDescent="0.3">
      <c r="B115" s="9">
        <v>42450</v>
      </c>
      <c r="C115" s="3" t="s">
        <v>10</v>
      </c>
      <c r="D115" s="3" t="s">
        <v>11</v>
      </c>
      <c r="E115" s="3" t="s">
        <v>16</v>
      </c>
      <c r="F115" s="5" t="s">
        <v>13</v>
      </c>
      <c r="G115" s="4">
        <v>282</v>
      </c>
      <c r="H115" s="3">
        <f t="shared" si="18"/>
        <v>0</v>
      </c>
      <c r="I115" s="3">
        <f t="shared" si="19"/>
        <v>1</v>
      </c>
      <c r="J115" s="3">
        <f t="shared" si="20"/>
        <v>1</v>
      </c>
      <c r="K115" s="35">
        <f t="shared" si="21"/>
        <v>0</v>
      </c>
      <c r="L115" s="3">
        <v>112</v>
      </c>
      <c r="M115" s="35">
        <f t="shared" si="15"/>
        <v>234.58897880001516</v>
      </c>
      <c r="N115" s="35">
        <f t="shared" si="16"/>
        <v>1.202102509003214</v>
      </c>
      <c r="O115" s="48">
        <f t="shared" si="17"/>
        <v>253.07396213870615</v>
      </c>
    </row>
    <row r="116" spans="2:15" x14ac:dyDescent="0.3">
      <c r="B116" s="9">
        <v>42451</v>
      </c>
      <c r="C116" s="3" t="s">
        <v>4</v>
      </c>
      <c r="D116" s="3" t="s">
        <v>11</v>
      </c>
      <c r="E116" s="3" t="s">
        <v>12</v>
      </c>
      <c r="F116" s="5" t="s">
        <v>13</v>
      </c>
      <c r="G116" s="4">
        <v>204</v>
      </c>
      <c r="H116" s="3">
        <f t="shared" si="18"/>
        <v>0</v>
      </c>
      <c r="I116" s="3">
        <f t="shared" si="19"/>
        <v>0</v>
      </c>
      <c r="J116" s="3">
        <f t="shared" si="20"/>
        <v>1</v>
      </c>
      <c r="K116" s="35">
        <f t="shared" si="21"/>
        <v>0</v>
      </c>
      <c r="L116" s="3">
        <v>113</v>
      </c>
      <c r="M116" s="35">
        <f t="shared" si="15"/>
        <v>177.123564053129</v>
      </c>
      <c r="N116" s="35">
        <f t="shared" si="16"/>
        <v>1.1517383420469638</v>
      </c>
      <c r="O116" s="48">
        <f t="shared" si="17"/>
        <v>209.58472323884413</v>
      </c>
    </row>
    <row r="117" spans="2:15" x14ac:dyDescent="0.3">
      <c r="B117" s="9">
        <v>42452</v>
      </c>
      <c r="C117" s="3" t="s">
        <v>5</v>
      </c>
      <c r="D117" s="3" t="s">
        <v>14</v>
      </c>
      <c r="E117" s="3" t="s">
        <v>15</v>
      </c>
      <c r="F117" s="5" t="s">
        <v>13</v>
      </c>
      <c r="G117" s="4">
        <v>212</v>
      </c>
      <c r="H117" s="3">
        <f t="shared" si="18"/>
        <v>0</v>
      </c>
      <c r="I117" s="3">
        <f t="shared" si="19"/>
        <v>0</v>
      </c>
      <c r="J117" s="3">
        <f t="shared" si="20"/>
        <v>0</v>
      </c>
      <c r="K117" s="35">
        <f t="shared" si="21"/>
        <v>0</v>
      </c>
      <c r="L117" s="3">
        <v>114</v>
      </c>
      <c r="M117" s="35">
        <f t="shared" si="15"/>
        <v>157.52007604735115</v>
      </c>
      <c r="N117" s="35">
        <f t="shared" si="16"/>
        <v>1.3458601933144825</v>
      </c>
      <c r="O117" s="48">
        <f t="shared" si="17"/>
        <v>204.35869901614865</v>
      </c>
    </row>
    <row r="118" spans="2:15" x14ac:dyDescent="0.3">
      <c r="B118" s="9">
        <v>42453</v>
      </c>
      <c r="C118" s="3" t="s">
        <v>6</v>
      </c>
      <c r="D118" s="3" t="s">
        <v>14</v>
      </c>
      <c r="E118" s="3" t="s">
        <v>15</v>
      </c>
      <c r="F118" s="5" t="s">
        <v>13</v>
      </c>
      <c r="G118" s="4">
        <v>201</v>
      </c>
      <c r="H118" s="3">
        <f t="shared" si="18"/>
        <v>0</v>
      </c>
      <c r="I118" s="3">
        <f t="shared" si="19"/>
        <v>0</v>
      </c>
      <c r="J118" s="3">
        <f t="shared" si="20"/>
        <v>0</v>
      </c>
      <c r="K118" s="35">
        <f t="shared" si="21"/>
        <v>0</v>
      </c>
      <c r="L118" s="3">
        <v>115</v>
      </c>
      <c r="M118" s="35">
        <f t="shared" si="15"/>
        <v>158.01585941521788</v>
      </c>
      <c r="N118" s="35">
        <f t="shared" si="16"/>
        <v>1.2720242179731645</v>
      </c>
      <c r="O118" s="48">
        <f t="shared" si="17"/>
        <v>173.53438673252063</v>
      </c>
    </row>
    <row r="119" spans="2:15" x14ac:dyDescent="0.3">
      <c r="B119" s="9">
        <v>42454</v>
      </c>
      <c r="C119" s="3" t="s">
        <v>7</v>
      </c>
      <c r="D119" s="3" t="s">
        <v>11</v>
      </c>
      <c r="E119" s="3" t="s">
        <v>16</v>
      </c>
      <c r="F119" s="5" t="s">
        <v>30</v>
      </c>
      <c r="G119" s="4">
        <v>137</v>
      </c>
      <c r="H119" s="3">
        <f t="shared" si="18"/>
        <v>0</v>
      </c>
      <c r="I119" s="3">
        <f t="shared" si="19"/>
        <v>1</v>
      </c>
      <c r="J119" s="3">
        <f t="shared" si="20"/>
        <v>1</v>
      </c>
      <c r="K119" s="35">
        <f t="shared" si="21"/>
        <v>1</v>
      </c>
      <c r="L119" s="3">
        <v>116</v>
      </c>
      <c r="M119" s="35">
        <f t="shared" si="15"/>
        <v>159.85851762208853</v>
      </c>
      <c r="N119" s="35">
        <f t="shared" si="16"/>
        <v>0.85700782190332259</v>
      </c>
      <c r="O119" s="48">
        <f t="shared" si="17"/>
        <v>151.47267501829518</v>
      </c>
    </row>
    <row r="120" spans="2:15" x14ac:dyDescent="0.3">
      <c r="B120" s="9">
        <v>42455</v>
      </c>
      <c r="C120" s="3" t="s">
        <v>8</v>
      </c>
      <c r="D120" s="3" t="s">
        <v>11</v>
      </c>
      <c r="E120" s="3" t="s">
        <v>15</v>
      </c>
      <c r="F120" s="5" t="s">
        <v>13</v>
      </c>
      <c r="G120" s="4">
        <v>140</v>
      </c>
      <c r="H120" s="3">
        <f t="shared" si="18"/>
        <v>0</v>
      </c>
      <c r="I120" s="3">
        <f t="shared" si="19"/>
        <v>0</v>
      </c>
      <c r="J120" s="3">
        <f t="shared" si="20"/>
        <v>1</v>
      </c>
      <c r="K120" s="35">
        <f t="shared" si="21"/>
        <v>0</v>
      </c>
      <c r="L120" s="3">
        <v>117</v>
      </c>
      <c r="M120" s="35">
        <f t="shared" si="15"/>
        <v>179.10669752459586</v>
      </c>
      <c r="N120" s="35">
        <f t="shared" si="16"/>
        <v>0.78165697840961235</v>
      </c>
      <c r="O120" s="48">
        <f t="shared" si="17"/>
        <v>143.33941817674506</v>
      </c>
    </row>
    <row r="121" spans="2:15" x14ac:dyDescent="0.3">
      <c r="B121" s="9">
        <v>42456</v>
      </c>
      <c r="C121" s="3" t="s">
        <v>9</v>
      </c>
      <c r="D121" s="3" t="s">
        <v>11</v>
      </c>
      <c r="E121" s="3" t="s">
        <v>15</v>
      </c>
      <c r="F121" s="5" t="s">
        <v>30</v>
      </c>
      <c r="G121" s="4">
        <v>66</v>
      </c>
      <c r="H121" s="3">
        <f t="shared" si="18"/>
        <v>0</v>
      </c>
      <c r="I121" s="3">
        <f t="shared" si="19"/>
        <v>0</v>
      </c>
      <c r="J121" s="3">
        <f t="shared" si="20"/>
        <v>1</v>
      </c>
      <c r="K121" s="35">
        <f t="shared" si="21"/>
        <v>1</v>
      </c>
      <c r="L121" s="3">
        <v>118</v>
      </c>
      <c r="M121" s="35">
        <f t="shared" si="15"/>
        <v>102.88888624306909</v>
      </c>
      <c r="N121" s="35">
        <f t="shared" si="16"/>
        <v>0.64146869900096681</v>
      </c>
      <c r="O121" s="48">
        <f t="shared" si="17"/>
        <v>64.065194640641664</v>
      </c>
    </row>
    <row r="122" spans="2:15" x14ac:dyDescent="0.3">
      <c r="B122" s="9">
        <v>42457</v>
      </c>
      <c r="C122" s="3" t="s">
        <v>10</v>
      </c>
      <c r="D122" s="3" t="s">
        <v>11</v>
      </c>
      <c r="E122" s="3" t="s">
        <v>16</v>
      </c>
      <c r="F122" s="5" t="s">
        <v>13</v>
      </c>
      <c r="G122" s="4">
        <v>296</v>
      </c>
      <c r="H122" s="3">
        <f t="shared" si="18"/>
        <v>0</v>
      </c>
      <c r="I122" s="3">
        <f t="shared" si="19"/>
        <v>1</v>
      </c>
      <c r="J122" s="3">
        <f t="shared" si="20"/>
        <v>1</v>
      </c>
      <c r="K122" s="35">
        <f t="shared" si="21"/>
        <v>0</v>
      </c>
      <c r="L122" s="3">
        <v>119</v>
      </c>
      <c r="M122" s="35">
        <f t="shared" si="15"/>
        <v>238.05946237508215</v>
      </c>
      <c r="N122" s="35">
        <f t="shared" si="16"/>
        <v>1.2433868288487848</v>
      </c>
      <c r="O122" s="48">
        <f t="shared" si="17"/>
        <v>256.8179105261035</v>
      </c>
    </row>
    <row r="123" spans="2:15" x14ac:dyDescent="0.3">
      <c r="B123" s="9">
        <v>42458</v>
      </c>
      <c r="C123" s="3" t="s">
        <v>4</v>
      </c>
      <c r="D123" s="3" t="s">
        <v>14</v>
      </c>
      <c r="E123" s="3" t="s">
        <v>15</v>
      </c>
      <c r="F123" s="5" t="s">
        <v>13</v>
      </c>
      <c r="G123" s="4">
        <v>204</v>
      </c>
      <c r="H123" s="3">
        <f t="shared" si="18"/>
        <v>0</v>
      </c>
      <c r="I123" s="3">
        <f t="shared" si="19"/>
        <v>0</v>
      </c>
      <c r="J123" s="3">
        <f t="shared" si="20"/>
        <v>0</v>
      </c>
      <c r="K123" s="35">
        <f t="shared" si="21"/>
        <v>0</v>
      </c>
      <c r="L123" s="3">
        <v>120</v>
      </c>
      <c r="M123" s="35">
        <f t="shared" si="15"/>
        <v>160.49477625455143</v>
      </c>
      <c r="N123" s="35">
        <f t="shared" si="16"/>
        <v>1.2710694064986108</v>
      </c>
      <c r="O123" s="48">
        <f t="shared" si="17"/>
        <v>189.90840344936109</v>
      </c>
    </row>
    <row r="124" spans="2:15" x14ac:dyDescent="0.3">
      <c r="B124" s="9">
        <v>42459</v>
      </c>
      <c r="C124" s="3" t="s">
        <v>5</v>
      </c>
      <c r="D124" s="3" t="s">
        <v>14</v>
      </c>
      <c r="E124" s="3" t="s">
        <v>12</v>
      </c>
      <c r="F124" s="5" t="s">
        <v>13</v>
      </c>
      <c r="G124" s="4">
        <v>196</v>
      </c>
      <c r="H124" s="3">
        <f t="shared" si="18"/>
        <v>0</v>
      </c>
      <c r="I124" s="3">
        <f t="shared" si="19"/>
        <v>0</v>
      </c>
      <c r="J124" s="3">
        <f t="shared" si="20"/>
        <v>0</v>
      </c>
      <c r="K124" s="35">
        <f t="shared" si="21"/>
        <v>0</v>
      </c>
      <c r="L124" s="3">
        <v>121</v>
      </c>
      <c r="M124" s="35">
        <f t="shared" si="15"/>
        <v>160.99055962241815</v>
      </c>
      <c r="N124" s="35">
        <f t="shared" si="16"/>
        <v>1.2174626913509203</v>
      </c>
      <c r="O124" s="48">
        <f t="shared" si="17"/>
        <v>208.86113150700402</v>
      </c>
    </row>
    <row r="125" spans="2:15" x14ac:dyDescent="0.3">
      <c r="B125" s="9">
        <v>42460</v>
      </c>
      <c r="C125" s="3" t="s">
        <v>6</v>
      </c>
      <c r="D125" s="3" t="s">
        <v>31</v>
      </c>
      <c r="E125" s="3" t="s">
        <v>15</v>
      </c>
      <c r="F125" s="5" t="s">
        <v>13</v>
      </c>
      <c r="G125" s="4">
        <v>156</v>
      </c>
      <c r="H125" s="3">
        <f t="shared" si="18"/>
        <v>0</v>
      </c>
      <c r="I125" s="3">
        <f t="shared" si="19"/>
        <v>0</v>
      </c>
      <c r="J125" s="3">
        <f t="shared" si="20"/>
        <v>0</v>
      </c>
      <c r="K125" s="35">
        <f t="shared" si="21"/>
        <v>0</v>
      </c>
      <c r="L125" s="3">
        <v>122</v>
      </c>
      <c r="M125" s="35">
        <f t="shared" si="15"/>
        <v>161.48634299028487</v>
      </c>
      <c r="N125" s="35">
        <f t="shared" si="16"/>
        <v>0.96602596300905197</v>
      </c>
      <c r="O125" s="48">
        <f t="shared" si="17"/>
        <v>177.34570188210955</v>
      </c>
    </row>
    <row r="126" spans="2:15" x14ac:dyDescent="0.3">
      <c r="B126" s="9">
        <v>42461</v>
      </c>
      <c r="C126" s="3" t="s">
        <v>7</v>
      </c>
      <c r="D126" s="3" t="s">
        <v>31</v>
      </c>
      <c r="E126" s="3" t="s">
        <v>16</v>
      </c>
      <c r="F126" s="5" t="s">
        <v>13</v>
      </c>
      <c r="G126" s="4">
        <v>179</v>
      </c>
      <c r="H126" s="3">
        <f t="shared" si="18"/>
        <v>0</v>
      </c>
      <c r="I126" s="3">
        <f t="shared" si="19"/>
        <v>1</v>
      </c>
      <c r="J126" s="3">
        <f t="shared" si="20"/>
        <v>0</v>
      </c>
      <c r="K126" s="35">
        <f t="shared" si="21"/>
        <v>0</v>
      </c>
      <c r="L126" s="3">
        <v>123</v>
      </c>
      <c r="M126" s="35">
        <f t="shared" si="15"/>
        <v>219.94332447290446</v>
      </c>
      <c r="N126" s="35">
        <f t="shared" si="16"/>
        <v>0.81384602341978152</v>
      </c>
      <c r="O126" s="48">
        <f t="shared" si="17"/>
        <v>208.40555890231985</v>
      </c>
    </row>
    <row r="127" spans="2:15" x14ac:dyDescent="0.3">
      <c r="B127" s="9">
        <v>42462</v>
      </c>
      <c r="C127" s="3" t="s">
        <v>8</v>
      </c>
      <c r="D127" s="3" t="s">
        <v>14</v>
      </c>
      <c r="E127" s="3" t="s">
        <v>16</v>
      </c>
      <c r="F127" s="5" t="s">
        <v>13</v>
      </c>
      <c r="G127" s="4">
        <v>176</v>
      </c>
      <c r="H127" s="3">
        <f t="shared" si="18"/>
        <v>0</v>
      </c>
      <c r="I127" s="3">
        <f t="shared" si="19"/>
        <v>1</v>
      </c>
      <c r="J127" s="3">
        <f t="shared" si="20"/>
        <v>0</v>
      </c>
      <c r="K127" s="35">
        <f t="shared" si="21"/>
        <v>0</v>
      </c>
      <c r="L127" s="3">
        <v>124</v>
      </c>
      <c r="M127" s="35">
        <f t="shared" si="15"/>
        <v>220.43910784077116</v>
      </c>
      <c r="N127" s="35">
        <f t="shared" si="16"/>
        <v>0.79840642490319513</v>
      </c>
      <c r="O127" s="48">
        <f t="shared" si="17"/>
        <v>176.41782187937307</v>
      </c>
    </row>
    <row r="128" spans="2:15" ht="15" thickBot="1" x14ac:dyDescent="0.35">
      <c r="B128" s="10">
        <v>42463</v>
      </c>
      <c r="C128" s="7" t="s">
        <v>9</v>
      </c>
      <c r="D128" s="7" t="s">
        <v>11</v>
      </c>
      <c r="E128" s="7" t="s">
        <v>29</v>
      </c>
      <c r="F128" s="8" t="s">
        <v>13</v>
      </c>
      <c r="G128" s="6">
        <v>156</v>
      </c>
      <c r="H128" s="7">
        <f t="shared" si="18"/>
        <v>1</v>
      </c>
      <c r="I128" s="7">
        <f t="shared" si="19"/>
        <v>0</v>
      </c>
      <c r="J128" s="7">
        <f t="shared" si="20"/>
        <v>1</v>
      </c>
      <c r="K128" s="50">
        <f t="shared" si="21"/>
        <v>0</v>
      </c>
      <c r="L128" s="7">
        <v>125</v>
      </c>
      <c r="M128" s="50">
        <f t="shared" si="15"/>
        <v>281.73680671324382</v>
      </c>
      <c r="N128" s="50">
        <f t="shared" si="16"/>
        <v>0.5537082705660793</v>
      </c>
      <c r="O128" s="43">
        <f t="shared" si="17"/>
        <v>175.42733737904248</v>
      </c>
    </row>
    <row r="129" spans="2:15" ht="15" thickBot="1" x14ac:dyDescent="0.35">
      <c r="B129" s="36">
        <v>42464</v>
      </c>
      <c r="C129" t="s">
        <v>10</v>
      </c>
      <c r="D129" t="s">
        <v>11</v>
      </c>
      <c r="E129" t="s">
        <v>70</v>
      </c>
      <c r="F129" t="s">
        <v>30</v>
      </c>
      <c r="G129">
        <v>200</v>
      </c>
      <c r="H129" s="7">
        <f t="shared" si="18"/>
        <v>0</v>
      </c>
      <c r="I129" s="7">
        <f t="shared" si="19"/>
        <v>0</v>
      </c>
      <c r="J129" s="7">
        <f t="shared" si="20"/>
        <v>1</v>
      </c>
      <c r="K129" s="50">
        <f t="shared" si="21"/>
        <v>1</v>
      </c>
      <c r="L129" s="7">
        <v>125</v>
      </c>
      <c r="M129" s="50">
        <f t="shared" si="15"/>
        <v>106.35936981813607</v>
      </c>
      <c r="N129" s="50">
        <f t="shared" si="16"/>
        <v>1.8804173091847016</v>
      </c>
      <c r="O129" s="43">
        <f t="shared" si="17"/>
        <v>114.74020334688407</v>
      </c>
    </row>
    <row r="130" spans="2:15" ht="15" thickBot="1" x14ac:dyDescent="0.35">
      <c r="B130" s="36">
        <v>42465</v>
      </c>
      <c r="C130" t="s">
        <v>4</v>
      </c>
      <c r="D130" t="s">
        <v>14</v>
      </c>
      <c r="E130" t="s">
        <v>32</v>
      </c>
      <c r="F130" t="s">
        <v>13</v>
      </c>
      <c r="G130">
        <v>456</v>
      </c>
      <c r="H130" s="7">
        <f t="shared" si="18"/>
        <v>1</v>
      </c>
      <c r="I130" s="7">
        <f t="shared" si="19"/>
        <v>0</v>
      </c>
      <c r="J130" s="7">
        <f t="shared" si="20"/>
        <v>0</v>
      </c>
      <c r="K130" s="50">
        <f t="shared" si="21"/>
        <v>0</v>
      </c>
      <c r="L130" s="7">
        <v>125</v>
      </c>
      <c r="M130" s="50">
        <f t="shared" si="15"/>
        <v>261.63753533959931</v>
      </c>
      <c r="N130" s="50">
        <f t="shared" si="16"/>
        <v>1.742869192710147</v>
      </c>
      <c r="O130" s="43">
        <f t="shared" si="17"/>
        <v>309.58743816037457</v>
      </c>
    </row>
    <row r="131" spans="2:15" ht="15" thickBot="1" x14ac:dyDescent="0.35">
      <c r="B131" s="36">
        <v>42466</v>
      </c>
      <c r="C131" t="s">
        <v>5</v>
      </c>
      <c r="D131" t="s">
        <v>11</v>
      </c>
      <c r="E131" t="s">
        <v>70</v>
      </c>
      <c r="F131" t="s">
        <v>30</v>
      </c>
      <c r="G131">
        <v>421</v>
      </c>
      <c r="H131" s="7">
        <f t="shared" si="18"/>
        <v>0</v>
      </c>
      <c r="I131" s="7">
        <f t="shared" si="19"/>
        <v>0</v>
      </c>
      <c r="J131" s="7">
        <f t="shared" si="20"/>
        <v>1</v>
      </c>
      <c r="K131" s="50">
        <f t="shared" si="21"/>
        <v>1</v>
      </c>
      <c r="L131" s="7">
        <v>125</v>
      </c>
      <c r="M131" s="50">
        <f t="shared" si="15"/>
        <v>106.35936981813607</v>
      </c>
      <c r="N131" s="50">
        <f t="shared" si="16"/>
        <v>3.958278435833797</v>
      </c>
      <c r="O131" s="43">
        <f t="shared" si="17"/>
        <v>137.98534757993608</v>
      </c>
    </row>
    <row r="132" spans="2:15" ht="15" thickBot="1" x14ac:dyDescent="0.35">
      <c r="B132" s="36">
        <v>42467</v>
      </c>
      <c r="C132" t="s">
        <v>6</v>
      </c>
      <c r="D132" t="s">
        <v>11</v>
      </c>
      <c r="E132" t="s">
        <v>70</v>
      </c>
      <c r="F132" t="s">
        <v>30</v>
      </c>
      <c r="G132">
        <v>541</v>
      </c>
      <c r="H132" s="7">
        <f t="shared" si="18"/>
        <v>0</v>
      </c>
      <c r="I132" s="7">
        <f t="shared" si="19"/>
        <v>0</v>
      </c>
      <c r="J132" s="7">
        <f t="shared" si="20"/>
        <v>1</v>
      </c>
      <c r="K132" s="50">
        <f t="shared" si="21"/>
        <v>1</v>
      </c>
      <c r="L132" s="7">
        <v>125</v>
      </c>
      <c r="M132" s="50">
        <f t="shared" si="15"/>
        <v>106.35936981813607</v>
      </c>
      <c r="N132" s="50">
        <f t="shared" si="16"/>
        <v>5.0865288213446176</v>
      </c>
      <c r="O132" s="43">
        <f t="shared" si="17"/>
        <v>116.80478201968432</v>
      </c>
    </row>
    <row r="133" spans="2:15" ht="15" thickBot="1" x14ac:dyDescent="0.35">
      <c r="B133" s="36">
        <v>42468</v>
      </c>
      <c r="C133" t="s">
        <v>7</v>
      </c>
      <c r="D133" t="s">
        <v>26</v>
      </c>
      <c r="E133" t="s">
        <v>70</v>
      </c>
      <c r="F133" t="s">
        <v>30</v>
      </c>
      <c r="G133">
        <v>200</v>
      </c>
      <c r="H133" s="7">
        <f t="shared" si="18"/>
        <v>0</v>
      </c>
      <c r="I133" s="7">
        <f t="shared" si="19"/>
        <v>0</v>
      </c>
      <c r="J133" s="7">
        <f t="shared" si="20"/>
        <v>0</v>
      </c>
      <c r="K133" s="50">
        <f t="shared" si="21"/>
        <v>1</v>
      </c>
      <c r="L133" s="7">
        <v>125</v>
      </c>
      <c r="M133" s="50">
        <f t="shared" si="15"/>
        <v>86.260098444491533</v>
      </c>
      <c r="N133" s="50">
        <f t="shared" si="16"/>
        <v>2.3185691137218005</v>
      </c>
      <c r="O133" s="43">
        <f t="shared" si="17"/>
        <v>81.73507457148601</v>
      </c>
    </row>
    <row r="134" spans="2:15" ht="15" thickBot="1" x14ac:dyDescent="0.35">
      <c r="B134" s="36">
        <v>42469</v>
      </c>
      <c r="C134" t="s">
        <v>8</v>
      </c>
      <c r="D134" t="s">
        <v>11</v>
      </c>
      <c r="E134" t="s">
        <v>70</v>
      </c>
      <c r="F134" t="s">
        <v>30</v>
      </c>
      <c r="G134">
        <v>8</v>
      </c>
      <c r="H134" s="7">
        <f t="shared" si="18"/>
        <v>0</v>
      </c>
      <c r="I134" s="7">
        <f t="shared" si="19"/>
        <v>0</v>
      </c>
      <c r="J134" s="7">
        <f t="shared" si="20"/>
        <v>1</v>
      </c>
      <c r="K134" s="50">
        <f t="shared" si="21"/>
        <v>1</v>
      </c>
      <c r="L134" s="7">
        <v>125</v>
      </c>
      <c r="M134" s="50">
        <f t="shared" si="15"/>
        <v>106.35936981813607</v>
      </c>
      <c r="N134" s="50">
        <f t="shared" si="16"/>
        <v>7.5216692367388066E-2</v>
      </c>
      <c r="O134" s="43">
        <f t="shared" si="17"/>
        <v>85.119598530274359</v>
      </c>
    </row>
    <row r="135" spans="2:15" ht="15" thickBot="1" x14ac:dyDescent="0.35">
      <c r="B135" s="36">
        <v>42470</v>
      </c>
      <c r="C135" t="s">
        <v>9</v>
      </c>
      <c r="D135" t="s">
        <v>26</v>
      </c>
      <c r="E135" t="s">
        <v>70</v>
      </c>
      <c r="F135" t="s">
        <v>30</v>
      </c>
      <c r="G135">
        <v>151</v>
      </c>
      <c r="H135" s="7">
        <f t="shared" si="18"/>
        <v>0</v>
      </c>
      <c r="I135" s="7">
        <f t="shared" si="19"/>
        <v>0</v>
      </c>
      <c r="J135" s="7">
        <f t="shared" si="20"/>
        <v>0</v>
      </c>
      <c r="K135" s="50">
        <f t="shared" si="21"/>
        <v>1</v>
      </c>
      <c r="L135" s="7">
        <v>125</v>
      </c>
      <c r="M135" s="50">
        <f t="shared" si="15"/>
        <v>86.260098444491533</v>
      </c>
      <c r="N135" s="50">
        <f t="shared" si="16"/>
        <v>1.7505196808599595</v>
      </c>
      <c r="O135" s="43">
        <f t="shared" si="17"/>
        <v>53.71104886403149</v>
      </c>
    </row>
    <row r="136" spans="2:15" ht="15" thickBot="1" x14ac:dyDescent="0.35">
      <c r="B136" s="36">
        <v>42471</v>
      </c>
      <c r="C136" t="s">
        <v>10</v>
      </c>
      <c r="D136" t="s">
        <v>11</v>
      </c>
      <c r="E136" t="s">
        <v>70</v>
      </c>
      <c r="F136" t="s">
        <v>30</v>
      </c>
      <c r="G136">
        <v>151</v>
      </c>
      <c r="H136" s="7">
        <f t="shared" si="18"/>
        <v>0</v>
      </c>
      <c r="I136" s="7">
        <f t="shared" si="19"/>
        <v>0</v>
      </c>
      <c r="J136" s="7">
        <f t="shared" si="20"/>
        <v>1</v>
      </c>
      <c r="K136" s="50">
        <f t="shared" si="21"/>
        <v>1</v>
      </c>
      <c r="L136" s="7">
        <v>125</v>
      </c>
      <c r="M136" s="50">
        <f t="shared" si="15"/>
        <v>106.35936981813607</v>
      </c>
      <c r="N136" s="50">
        <f t="shared" si="16"/>
        <v>1.4197150684344497</v>
      </c>
      <c r="O136" s="43">
        <f t="shared" si="17"/>
        <v>114.74020334688407</v>
      </c>
    </row>
    <row r="137" spans="2:15" ht="15" thickBot="1" x14ac:dyDescent="0.35">
      <c r="B137" s="36">
        <v>42472</v>
      </c>
      <c r="C137" t="s">
        <v>4</v>
      </c>
      <c r="D137" t="s">
        <v>26</v>
      </c>
      <c r="E137" t="s">
        <v>70</v>
      </c>
      <c r="F137" t="s">
        <v>30</v>
      </c>
      <c r="G137">
        <v>155</v>
      </c>
      <c r="H137" s="7">
        <f t="shared" si="18"/>
        <v>0</v>
      </c>
      <c r="I137" s="7">
        <f t="shared" si="19"/>
        <v>0</v>
      </c>
      <c r="J137" s="7">
        <f t="shared" si="20"/>
        <v>0</v>
      </c>
      <c r="K137" s="50">
        <f t="shared" si="21"/>
        <v>1</v>
      </c>
      <c r="L137" s="7">
        <v>125</v>
      </c>
      <c r="M137" s="50">
        <f t="shared" si="15"/>
        <v>86.260098444491533</v>
      </c>
      <c r="N137" s="50">
        <f t="shared" si="16"/>
        <v>1.7968910631343955</v>
      </c>
      <c r="O137" s="43">
        <f t="shared" si="17"/>
        <v>102.06885207900058</v>
      </c>
    </row>
    <row r="138" spans="2:15" ht="15" thickBot="1" x14ac:dyDescent="0.35">
      <c r="B138" s="36">
        <v>42473</v>
      </c>
      <c r="C138" t="s">
        <v>5</v>
      </c>
      <c r="D138" t="s">
        <v>11</v>
      </c>
      <c r="E138" t="s">
        <v>32</v>
      </c>
      <c r="F138" t="s">
        <v>30</v>
      </c>
      <c r="G138">
        <v>154</v>
      </c>
      <c r="H138" s="7">
        <f t="shared" si="18"/>
        <v>1</v>
      </c>
      <c r="I138" s="7">
        <f t="shared" si="19"/>
        <v>0</v>
      </c>
      <c r="J138" s="7">
        <f t="shared" si="20"/>
        <v>1</v>
      </c>
      <c r="K138" s="50">
        <f t="shared" si="21"/>
        <v>1</v>
      </c>
      <c r="L138" s="7">
        <v>125</v>
      </c>
      <c r="M138" s="50">
        <f t="shared" si="15"/>
        <v>205.02321206385037</v>
      </c>
      <c r="N138" s="50">
        <f t="shared" si="16"/>
        <v>0.7511344615556983</v>
      </c>
      <c r="O138" s="43">
        <f t="shared" si="17"/>
        <v>265.98690107847347</v>
      </c>
    </row>
  </sheetData>
  <mergeCells count="2">
    <mergeCell ref="D2:F2"/>
    <mergeCell ref="G2:J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134"/>
  <sheetViews>
    <sheetView tabSelected="1" topLeftCell="F1" workbookViewId="0">
      <selection activeCell="L15" sqref="L15"/>
    </sheetView>
  </sheetViews>
  <sheetFormatPr defaultRowHeight="14.4" x14ac:dyDescent="0.3"/>
  <cols>
    <col min="2" max="2" width="12.6640625" bestFit="1" customWidth="1"/>
  </cols>
  <sheetData>
    <row r="1" spans="1:22" ht="15" thickBot="1" x14ac:dyDescent="0.35">
      <c r="E1" s="62" t="s">
        <v>80</v>
      </c>
      <c r="F1" s="63"/>
      <c r="G1" s="63"/>
      <c r="H1" s="63"/>
      <c r="I1" s="63"/>
      <c r="J1" s="63"/>
      <c r="K1" s="64"/>
      <c r="M1" s="67" t="s">
        <v>52</v>
      </c>
      <c r="N1" s="68"/>
      <c r="O1" s="68"/>
      <c r="P1" s="68"/>
      <c r="Q1" s="68"/>
      <c r="R1" s="68"/>
      <c r="S1" s="68"/>
      <c r="T1" s="68"/>
      <c r="U1" s="69"/>
    </row>
    <row r="2" spans="1:22" x14ac:dyDescent="0.3">
      <c r="A2" s="37" t="s">
        <v>74</v>
      </c>
      <c r="B2" s="37" t="s">
        <v>75</v>
      </c>
      <c r="C2" s="37" t="s">
        <v>76</v>
      </c>
      <c r="D2" s="37" t="s">
        <v>77</v>
      </c>
      <c r="E2" s="38" t="s">
        <v>78</v>
      </c>
      <c r="F2" s="38" t="s">
        <v>4</v>
      </c>
      <c r="G2" s="38" t="s">
        <v>5</v>
      </c>
      <c r="H2" s="38" t="s">
        <v>6</v>
      </c>
      <c r="I2" s="38" t="s">
        <v>7</v>
      </c>
      <c r="J2" s="38" t="s">
        <v>8</v>
      </c>
      <c r="K2" s="38" t="s">
        <v>9</v>
      </c>
      <c r="L2" s="37" t="s">
        <v>79</v>
      </c>
      <c r="M2" s="38" t="s">
        <v>46</v>
      </c>
      <c r="N2" s="66" t="s">
        <v>15</v>
      </c>
      <c r="O2" s="38" t="s">
        <v>32</v>
      </c>
      <c r="P2" s="65" t="s">
        <v>16</v>
      </c>
      <c r="Q2" s="65" t="s">
        <v>11</v>
      </c>
      <c r="R2" s="65" t="s">
        <v>31</v>
      </c>
      <c r="S2" s="65" t="s">
        <v>14</v>
      </c>
      <c r="T2" s="65" t="s">
        <v>33</v>
      </c>
      <c r="U2" s="65" t="s">
        <v>34</v>
      </c>
    </row>
    <row r="3" spans="1:22" x14ac:dyDescent="0.3">
      <c r="A3" s="35">
        <v>1</v>
      </c>
      <c r="B3" s="35" t="s">
        <v>81</v>
      </c>
      <c r="C3" s="35">
        <v>4.3991589453189665E-8</v>
      </c>
      <c r="D3" s="35">
        <v>730.87375726453365</v>
      </c>
      <c r="E3" s="35">
        <v>0.98375275793658545</v>
      </c>
      <c r="F3" s="35">
        <v>1.089418376472578</v>
      </c>
      <c r="G3" s="35">
        <v>1.1145185354983551</v>
      </c>
      <c r="H3" s="35">
        <v>1.0916809053415786</v>
      </c>
      <c r="I3" s="35">
        <v>1.0577969899535917</v>
      </c>
      <c r="J3" s="35">
        <v>0.88965422820582185</v>
      </c>
      <c r="K3" s="35">
        <v>0.78717039473499206</v>
      </c>
      <c r="L3" s="35">
        <v>625.61921247021337</v>
      </c>
      <c r="M3" s="35">
        <f>VLOOKUP(M2,BloomField!$R$20:$S$24,2,FALSE)</f>
        <v>54.330435722201457</v>
      </c>
      <c r="N3" s="35" t="e">
        <f>VLOOKUP(N2,BloomField!$R$20:$S$24,2,FALSE)</f>
        <v>#N/A</v>
      </c>
      <c r="O3" s="35" t="e">
        <f>VLOOKUP(O2,BloomField!$R$20:$S$24,2,FALSE)</f>
        <v>#N/A</v>
      </c>
      <c r="P3" s="35" t="e">
        <f>VLOOKUP(P2,BloomField!$R$20:$S$24,2,FALSE)</f>
        <v>#N/A</v>
      </c>
      <c r="Q3" s="35">
        <f>VLOOKUP(Q2,BloomField!$R$20:$S$24,2,FALSE)</f>
        <v>11.670562421409361</v>
      </c>
      <c r="R3" s="35">
        <f>VLOOKUP(R2,BloomField!$R$20:$S$24,2,FALSE)</f>
        <v>-55.507898984091973</v>
      </c>
      <c r="S3" s="35" t="e">
        <f>VLOOKUP(S2,BloomField!$R$20:$S$24,2,FALSE)</f>
        <v>#N/A</v>
      </c>
      <c r="T3" s="35">
        <f>VLOOKUP(T2,BloomField!$R$20:$S$24,2,FALSE)</f>
        <v>-21.089815930918885</v>
      </c>
      <c r="U3" s="35">
        <f>VLOOKUP(U2,BloomField!$R$20:$S$24,2,FALSE)</f>
        <v>0.4177236699007848</v>
      </c>
      <c r="V3" s="35"/>
    </row>
    <row r="4" spans="1:22" x14ac:dyDescent="0.3">
      <c r="A4" s="35">
        <v>2</v>
      </c>
      <c r="B4" s="35" t="s">
        <v>22</v>
      </c>
      <c r="C4" s="35">
        <v>1.2685338961356685E-10</v>
      </c>
      <c r="D4" s="35">
        <v>530.59706271558446</v>
      </c>
      <c r="E4" s="35">
        <v>1.0482186439984995</v>
      </c>
      <c r="F4" s="35">
        <v>1.0934075955145064</v>
      </c>
      <c r="G4" s="35">
        <v>1.1749839261168091</v>
      </c>
      <c r="H4" s="35">
        <v>1.0112282380446977</v>
      </c>
      <c r="I4" s="35">
        <v>1.024579849532044</v>
      </c>
      <c r="J4" s="35">
        <v>0.89057021477322151</v>
      </c>
      <c r="K4" s="35">
        <v>0.76319192211552533</v>
      </c>
      <c r="L4" s="35">
        <v>186.82246433732718</v>
      </c>
      <c r="M4" s="35">
        <f>VLOOKUP(M2,Farmington!$U$21:$V$28,2,FALSE)</f>
        <v>107.25388309392555</v>
      </c>
      <c r="N4" s="35" t="e">
        <f>VLOOKUP(N2,Farmington!$U$21:$V$28,2,FALSE)</f>
        <v>#N/A</v>
      </c>
      <c r="O4" s="35">
        <f>VLOOKUP(O2,Farmington!$U$21:$V$28,2,FALSE)</f>
        <v>32.389633634434176</v>
      </c>
      <c r="P4" s="35">
        <f>VLOOKUP(P2,Farmington!$U$21:$V$28,2,FALSE)</f>
        <v>21.745525059637789</v>
      </c>
      <c r="Q4" s="35">
        <f>VLOOKUP(Q2,Farmington!$U$21:$V$28,2,FALSE)</f>
        <v>18.639713629078653</v>
      </c>
      <c r="R4" s="35">
        <f>VLOOKUP(R2,Farmington!$U$21:$V$28,2,FALSE)</f>
        <v>-45.462791905994457</v>
      </c>
      <c r="S4" s="35">
        <f>VLOOKUP(S2,Farmington!$U$21:$V$28,2,FALSE)</f>
        <v>15.041103733216898</v>
      </c>
      <c r="T4" s="35">
        <f>VLOOKUP(T2,Farmington!$U$21:$V$28,2,FALSE)</f>
        <v>-45.962716905024003</v>
      </c>
      <c r="U4" s="35">
        <f>VLOOKUP(U2,Farmington!$U$21:$V$28,2,FALSE)</f>
        <v>0.22220000397852274</v>
      </c>
      <c r="V4" s="35"/>
    </row>
    <row r="5" spans="1:22" x14ac:dyDescent="0.3">
      <c r="A5" s="35">
        <v>3</v>
      </c>
      <c r="B5" s="35" t="s">
        <v>18</v>
      </c>
      <c r="C5" s="35">
        <v>3.048829061277282E-20</v>
      </c>
      <c r="D5" s="35">
        <v>23494.84025388072</v>
      </c>
      <c r="E5" s="35">
        <v>1.0985578633792212</v>
      </c>
      <c r="F5" s="35">
        <v>0.70432171329893167</v>
      </c>
      <c r="G5" s="35">
        <v>1.496710000385747</v>
      </c>
      <c r="H5" s="35">
        <v>1.0188820237754426</v>
      </c>
      <c r="I5" s="35">
        <v>0.81524775466071531</v>
      </c>
      <c r="J5" s="35">
        <v>1.0218372678905574</v>
      </c>
      <c r="K5" s="35">
        <v>0.94325149199739522</v>
      </c>
      <c r="L5" s="35">
        <v>15470.327061646874</v>
      </c>
      <c r="M5" s="35">
        <f>VLOOKUP(M2,Glastonbury!$T$21:$U$27,2,FALSE)</f>
        <v>95.90328243451097</v>
      </c>
      <c r="N5" s="35">
        <f>VLOOKUP(N2,Glastonbury!$T$21:$U$27,2,FALSE)</f>
        <v>-207.79419068341602</v>
      </c>
      <c r="O5" s="35" t="e">
        <f>VLOOKUP(O2,Glastonbury!$T$21:$U$27,2,FALSE)</f>
        <v>#N/A</v>
      </c>
      <c r="P5" s="35">
        <f>VLOOKUP(P2,Glastonbury!$T$21:$U$27,2,FALSE)</f>
        <v>-75.443898501935479</v>
      </c>
      <c r="Q5" s="35">
        <f>VLOOKUP(Q2,Glastonbury!$T$21:$U$27,2,FALSE)</f>
        <v>299.48632591578843</v>
      </c>
      <c r="R5" s="35" t="e">
        <f>VLOOKUP(R2,Glastonbury!$T$21:$U$27,2,FALSE)</f>
        <v>#N/A</v>
      </c>
      <c r="S5" s="35">
        <f>VLOOKUP(S2,Glastonbury!$T$21:$U$27,2,FALSE)</f>
        <v>138.11497120873801</v>
      </c>
      <c r="T5" s="35">
        <f>VLOOKUP(T2,Glastonbury!$T$21:$U$27,2,FALSE)</f>
        <v>212.22078417292775</v>
      </c>
      <c r="U5" s="35">
        <f>VLOOKUP(U2,Glastonbury!$T$21:$U$27,2,FALSE)</f>
        <v>2.1662168231354162</v>
      </c>
      <c r="V5" s="35"/>
    </row>
    <row r="6" spans="1:22" x14ac:dyDescent="0.3">
      <c r="A6" s="35">
        <v>4</v>
      </c>
      <c r="B6" s="35" t="s">
        <v>19</v>
      </c>
      <c r="C6" s="35">
        <v>1.1408627009407273E-22</v>
      </c>
      <c r="D6" s="35">
        <v>889.09292362709323</v>
      </c>
      <c r="E6" s="35">
        <v>1.0963222416316398</v>
      </c>
      <c r="F6" s="35">
        <v>1.0490591504196447</v>
      </c>
      <c r="G6" s="35">
        <v>0.9751148079994828</v>
      </c>
      <c r="H6" s="35">
        <v>1.0024571319046169</v>
      </c>
      <c r="I6" s="35">
        <v>1.0419005580958653</v>
      </c>
      <c r="J6" s="35">
        <v>1.0094805118406771</v>
      </c>
      <c r="K6" s="35">
        <v>0.83796199409190175</v>
      </c>
      <c r="L6" s="35">
        <v>624.90726701717938</v>
      </c>
      <c r="M6" s="35">
        <f>VLOOKUP(M2,Hartford!$R$19:$S$24,2,FALSE)</f>
        <v>125.81390903448761</v>
      </c>
      <c r="N6" s="35" t="e">
        <f>VLOOKUP(N2,Hartford!$R$19:$S$24,2,FALSE)</f>
        <v>#N/A</v>
      </c>
      <c r="O6" s="35">
        <f>VLOOKUP(O2,Hartford!$R$19:$S$24,2,FALSE)</f>
        <v>68.697215436782528</v>
      </c>
      <c r="P6" s="35">
        <f>VLOOKUP(P2,Hartford!$R$19:$S$24,2,FALSE)</f>
        <v>47.379363998667664</v>
      </c>
      <c r="Q6" s="35">
        <f>VLOOKUP(Q2,Hartford!$R$19:$S$24,2,FALSE)</f>
        <v>31.677389391476282</v>
      </c>
      <c r="R6" s="35" t="e">
        <f>VLOOKUP(R2,Hartford!$R$19:$S$24,2,FALSE)</f>
        <v>#N/A</v>
      </c>
      <c r="S6" s="35" t="e">
        <f>VLOOKUP(S2,Hartford!$R$19:$S$24,2,FALSE)</f>
        <v>#N/A</v>
      </c>
      <c r="T6" s="35">
        <f>VLOOKUP(T2,Hartford!$R$19:$S$24,2,FALSE)</f>
        <v>-46.307692189731114</v>
      </c>
      <c r="U6" s="35">
        <f>VLOOKUP(U2,Hartford!$R$19:$S$24,2,FALSE)</f>
        <v>0.85504210247393309</v>
      </c>
      <c r="V6" s="35"/>
    </row>
    <row r="7" spans="1:22" x14ac:dyDescent="0.3">
      <c r="A7" s="35">
        <v>5</v>
      </c>
      <c r="B7" s="35" t="s">
        <v>17</v>
      </c>
      <c r="C7" s="35">
        <v>1.9257166745477692E-15</v>
      </c>
      <c r="D7" s="35">
        <v>1349.7358910002606</v>
      </c>
      <c r="E7" s="35">
        <v>0.95958533754739239</v>
      </c>
      <c r="F7" s="35">
        <v>0.8776123357063661</v>
      </c>
      <c r="G7" s="35">
        <v>0.94502988971445079</v>
      </c>
      <c r="H7" s="35">
        <v>0.9434368272929875</v>
      </c>
      <c r="I7" s="35">
        <v>1.0038766596639077</v>
      </c>
      <c r="J7" s="35">
        <v>1.1003569070489052</v>
      </c>
      <c r="K7" s="35">
        <v>1.1696365883584627</v>
      </c>
      <c r="L7" s="35">
        <v>912.08384033006689</v>
      </c>
      <c r="M7" s="35">
        <f>VLOOKUP(M2,Manchester!$O$19:$P$21,2,FALSE)</f>
        <v>159.06289586365807</v>
      </c>
      <c r="N7" s="35" t="e">
        <f>VLOOKUP(N2,Manchester!$O$19:$P$21,2,FALSE)</f>
        <v>#N/A</v>
      </c>
      <c r="O7" s="35" t="e">
        <f>VLOOKUP(O2,Manchester!$O$19:$P$21,2,FALSE)</f>
        <v>#N/A</v>
      </c>
      <c r="P7" s="35" t="e">
        <f>VLOOKUP(P2,Manchester!$O$19:$P$21,2,FALSE)</f>
        <v>#N/A</v>
      </c>
      <c r="Q7" s="35" t="e">
        <f>VLOOKUP(Q2,Manchester!$O$19:$P$21,2,FALSE)</f>
        <v>#N/A</v>
      </c>
      <c r="R7" s="35" t="e">
        <f>VLOOKUP(R2,Manchester!$O$19:$P$21,2,FALSE)</f>
        <v>#N/A</v>
      </c>
      <c r="S7" s="35" t="e">
        <f>VLOOKUP(S2,Manchester!$O$19:$P$21,2,FALSE)</f>
        <v>#N/A</v>
      </c>
      <c r="T7" s="35">
        <f>VLOOKUP(T2,Manchester!$O$19:$P$21,2,FALSE)</f>
        <v>27.172111746355036</v>
      </c>
      <c r="U7" s="35">
        <f>VLOOKUP(U2,Manchester!$O$19:$P$21,2,FALSE)</f>
        <v>0.83774536988353476</v>
      </c>
      <c r="V7" s="35"/>
    </row>
    <row r="8" spans="1:22" x14ac:dyDescent="0.3">
      <c r="A8" s="35">
        <v>6</v>
      </c>
      <c r="B8" s="35" t="s">
        <v>23</v>
      </c>
      <c r="C8" s="35">
        <v>2.1094709319907573E-17</v>
      </c>
      <c r="D8" s="35">
        <v>866.72763761555484</v>
      </c>
      <c r="E8" s="35">
        <v>1.0551928791028051</v>
      </c>
      <c r="F8" s="35">
        <v>1.0833050120431402</v>
      </c>
      <c r="G8" s="35">
        <v>1.1567982022331045</v>
      </c>
      <c r="H8" s="35">
        <v>1.0679807274146063</v>
      </c>
      <c r="I8" s="35">
        <v>1.0550458805200957</v>
      </c>
      <c r="J8" s="35">
        <v>0.88943652206727308</v>
      </c>
      <c r="K8" s="35">
        <v>0.71899079034770541</v>
      </c>
      <c r="L8" s="35">
        <v>275.50836988654413</v>
      </c>
      <c r="M8" s="35">
        <f>VLOOKUP(M2,Southington!$S$19:$T$26,2,FALSE)</f>
        <v>84.937992660826438</v>
      </c>
      <c r="N8" s="35" t="e">
        <f>VLOOKUP(N2,Southington!$S$19:$T$26,2,FALSE)</f>
        <v>#N/A</v>
      </c>
      <c r="O8" s="35">
        <f>VLOOKUP(O2,Southington!$S$19:$T$26,2,FALSE)</f>
        <v>44.01005637225591</v>
      </c>
      <c r="P8" s="35">
        <f>VLOOKUP(P2,Southington!$S$19:$T$26,2,FALSE)</f>
        <v>39.288370883857873</v>
      </c>
      <c r="Q8" s="35">
        <f>VLOOKUP(Q2,Southington!$S$19:$T$26,2,FALSE)</f>
        <v>41.764640084196031</v>
      </c>
      <c r="R8" s="35">
        <f>VLOOKUP(R2,Southington!$S$19:$T$26,2,FALSE)</f>
        <v>-68.82986450376373</v>
      </c>
      <c r="S8" s="35">
        <f>VLOOKUP(S2,Southington!$S$19:$T$26,2,FALSE)</f>
        <v>34.828433551429164</v>
      </c>
      <c r="T8" s="35">
        <f>VLOOKUP(T2,Southington!$S$19:$T$26,2,FALSE)</f>
        <v>-63.583221923364761</v>
      </c>
      <c r="U8" s="35">
        <f>VLOOKUP(U2,Southington!$S$19:$T$26,2,FALSE)</f>
        <v>0.58204405966749706</v>
      </c>
      <c r="V8" s="35"/>
    </row>
    <row r="9" spans="1:22" x14ac:dyDescent="0.3">
      <c r="A9" s="35">
        <v>7</v>
      </c>
      <c r="B9" s="35" t="s">
        <v>24</v>
      </c>
      <c r="C9" s="35">
        <v>4.8053811829918194E-13</v>
      </c>
      <c r="D9" s="35">
        <v>2754.6401858419681</v>
      </c>
      <c r="E9" s="35">
        <v>1.0740616331091939</v>
      </c>
      <c r="F9" s="35">
        <v>1.2686994746249551</v>
      </c>
      <c r="G9" s="35">
        <v>1.1367690201714007</v>
      </c>
      <c r="H9" s="35">
        <v>1.1311555020743187</v>
      </c>
      <c r="I9" s="35">
        <v>1.037744015147902</v>
      </c>
      <c r="J9" s="35">
        <v>0.86935315161715088</v>
      </c>
      <c r="K9" s="35">
        <v>0.50343985503505762</v>
      </c>
      <c r="L9" s="35">
        <v>533.559589881134</v>
      </c>
      <c r="M9" s="35">
        <f>VLOOKUP(M2,'West Hartford'!$Q$19:$R$24,2,FALSE)</f>
        <v>138.40072738609041</v>
      </c>
      <c r="N9" s="35" t="e">
        <f>VLOOKUP(N2,'West Hartford'!$Q$19:$R$24,2,FALSE)</f>
        <v>#N/A</v>
      </c>
      <c r="O9" s="35">
        <f>VLOOKUP(O2,'West Hartford'!$Q$19:$R$24,2,FALSE)</f>
        <v>114.82775111102072</v>
      </c>
      <c r="P9" s="35">
        <f>VLOOKUP(P2,'West Hartford'!$Q$19:$R$24,2,FALSE)</f>
        <v>73.963073570163516</v>
      </c>
      <c r="Q9" s="35">
        <f>VLOOKUP(Q2,'West Hartford'!$Q$19:$R$24,2,FALSE)</f>
        <v>25.947487658743238</v>
      </c>
      <c r="R9" s="35" t="e">
        <f>VLOOKUP(R2,'West Hartford'!$Q$19:$R$24,2,FALSE)</f>
        <v>#N/A</v>
      </c>
      <c r="S9" s="35" t="e">
        <f>VLOOKUP(S2,'West Hartford'!$Q$19:$R$24,2,FALSE)</f>
        <v>#N/A</v>
      </c>
      <c r="T9" s="35">
        <f>VLOOKUP(T2,'West Hartford'!$Q$19:$R$24,2,FALSE)</f>
        <v>-99.53765176669917</v>
      </c>
      <c r="U9" s="35">
        <f>VLOOKUP(U2,'West Hartford'!$Q$19:$R$24,2,FALSE)</f>
        <v>0.30030239835332767</v>
      </c>
      <c r="V9" s="35"/>
    </row>
    <row r="10" spans="1:22" x14ac:dyDescent="0.3">
      <c r="A10" s="35">
        <v>8</v>
      </c>
      <c r="B10" s="35" t="s">
        <v>20</v>
      </c>
      <c r="C10" s="35">
        <v>8.1146472992584175E-14</v>
      </c>
      <c r="D10" s="35">
        <v>1831.0567960184685</v>
      </c>
      <c r="E10" s="35">
        <v>1.0787973221642662</v>
      </c>
      <c r="F10" s="35">
        <v>1.1832684395170496</v>
      </c>
      <c r="G10" s="35">
        <v>1.297350180015896</v>
      </c>
      <c r="H10" s="35">
        <v>1.0982086695268021</v>
      </c>
      <c r="I10" s="35">
        <v>0.94754209704597792</v>
      </c>
      <c r="J10" s="35">
        <v>0.800301832135903</v>
      </c>
      <c r="K10" s="35">
        <v>0.62266389480872908</v>
      </c>
      <c r="L10" s="35">
        <v>512.10363827352046</v>
      </c>
      <c r="M10" s="35">
        <f>VLOOKUP(M2,Windsor!$Q$19:$R$24,2,FALSE)</f>
        <v>101.00077211054597</v>
      </c>
      <c r="N10" s="35" t="e">
        <f>VLOOKUP(N2,Windsor!$Q$19:$R$24,2,FALSE)</f>
        <v>#N/A</v>
      </c>
      <c r="O10" s="35">
        <f>VLOOKUP(O2,Windsor!$Q$19:$R$24,2,FALSE)</f>
        <v>98.663842245714307</v>
      </c>
      <c r="P10" s="35">
        <f>VLOOKUP(P2,Windsor!$Q$19:$R$24,2,FALSE)</f>
        <v>57.961198114752868</v>
      </c>
      <c r="Q10" s="35">
        <f>VLOOKUP(Q2,Windsor!$Q$19:$R$24,2,FALSE)</f>
        <v>20.099271373644548</v>
      </c>
      <c r="R10" s="35" t="e">
        <f>VLOOKUP(R2,Windsor!$Q$19:$R$24,2,FALSE)</f>
        <v>#N/A</v>
      </c>
      <c r="S10" s="35" t="e">
        <f>VLOOKUP(S2,Windsor!$Q$19:$R$24,2,FALSE)</f>
        <v>#N/A</v>
      </c>
      <c r="T10" s="35">
        <f>VLOOKUP(T2,Windsor!$Q$19:$R$24,2,FALSE)</f>
        <v>-76.713594649393471</v>
      </c>
      <c r="U10" s="35">
        <f>VLOOKUP(U2,Windsor!$Q$19:$R$24,2,FALSE)</f>
        <v>0.49578336786671229</v>
      </c>
      <c r="V10" s="35"/>
    </row>
    <row r="11" spans="1:22" x14ac:dyDescent="0.3">
      <c r="B11" s="36"/>
    </row>
    <row r="12" spans="1:22" x14ac:dyDescent="0.3">
      <c r="B12" s="36"/>
    </row>
    <row r="13" spans="1:22" x14ac:dyDescent="0.3">
      <c r="B13" s="36"/>
    </row>
    <row r="14" spans="1:22" x14ac:dyDescent="0.3">
      <c r="B14" s="36"/>
    </row>
    <row r="15" spans="1:22" x14ac:dyDescent="0.3">
      <c r="B15" s="36"/>
      <c r="M15" s="29"/>
      <c r="N15" s="29"/>
    </row>
    <row r="16" spans="1:22" x14ac:dyDescent="0.3">
      <c r="B16" s="36"/>
      <c r="M16" s="29"/>
      <c r="N16" s="29"/>
    </row>
    <row r="17" spans="2:14" x14ac:dyDescent="0.3">
      <c r="B17" s="36"/>
      <c r="M17" s="29"/>
      <c r="N17" s="29"/>
    </row>
    <row r="18" spans="2:14" x14ac:dyDescent="0.3">
      <c r="B18" s="36"/>
      <c r="M18" s="29"/>
      <c r="N18" s="29"/>
    </row>
    <row r="19" spans="2:14" x14ac:dyDescent="0.3">
      <c r="B19" s="36"/>
    </row>
    <row r="20" spans="2:14" x14ac:dyDescent="0.3">
      <c r="B20" s="36"/>
    </row>
    <row r="21" spans="2:14" x14ac:dyDescent="0.3">
      <c r="B21" s="36"/>
    </row>
    <row r="22" spans="2:14" x14ac:dyDescent="0.3">
      <c r="B22" s="36"/>
    </row>
    <row r="23" spans="2:14" x14ac:dyDescent="0.3">
      <c r="B23" s="36"/>
    </row>
    <row r="24" spans="2:14" x14ac:dyDescent="0.3">
      <c r="B24" s="36"/>
    </row>
    <row r="25" spans="2:14" x14ac:dyDescent="0.3">
      <c r="B25" s="36"/>
    </row>
    <row r="26" spans="2:14" x14ac:dyDescent="0.3">
      <c r="B26" s="36"/>
    </row>
    <row r="27" spans="2:14" x14ac:dyDescent="0.3">
      <c r="B27" s="36"/>
    </row>
    <row r="28" spans="2:14" x14ac:dyDescent="0.3">
      <c r="B28" s="36"/>
    </row>
    <row r="29" spans="2:14" x14ac:dyDescent="0.3">
      <c r="B29" s="36"/>
    </row>
    <row r="30" spans="2:14" x14ac:dyDescent="0.3">
      <c r="B30" s="36"/>
    </row>
    <row r="31" spans="2:14" x14ac:dyDescent="0.3">
      <c r="B31" s="36"/>
    </row>
    <row r="32" spans="2:14" x14ac:dyDescent="0.3">
      <c r="B32" s="36"/>
    </row>
    <row r="33" spans="2:2" x14ac:dyDescent="0.3">
      <c r="B33" s="36"/>
    </row>
    <row r="34" spans="2:2" x14ac:dyDescent="0.3">
      <c r="B34" s="36"/>
    </row>
    <row r="35" spans="2:2" x14ac:dyDescent="0.3">
      <c r="B35" s="36"/>
    </row>
    <row r="36" spans="2:2" x14ac:dyDescent="0.3">
      <c r="B36" s="36"/>
    </row>
    <row r="37" spans="2:2" x14ac:dyDescent="0.3">
      <c r="B37" s="36"/>
    </row>
    <row r="38" spans="2:2" x14ac:dyDescent="0.3">
      <c r="B38" s="36"/>
    </row>
    <row r="39" spans="2:2" x14ac:dyDescent="0.3">
      <c r="B39" s="36"/>
    </row>
    <row r="40" spans="2:2" x14ac:dyDescent="0.3">
      <c r="B40" s="36"/>
    </row>
    <row r="41" spans="2:2" x14ac:dyDescent="0.3">
      <c r="B41" s="36"/>
    </row>
    <row r="42" spans="2:2" x14ac:dyDescent="0.3">
      <c r="B42" s="36"/>
    </row>
    <row r="43" spans="2:2" x14ac:dyDescent="0.3">
      <c r="B43" s="36"/>
    </row>
    <row r="44" spans="2:2" x14ac:dyDescent="0.3">
      <c r="B44" s="36"/>
    </row>
    <row r="45" spans="2:2" x14ac:dyDescent="0.3">
      <c r="B45" s="36"/>
    </row>
    <row r="46" spans="2:2" x14ac:dyDescent="0.3">
      <c r="B46" s="36"/>
    </row>
    <row r="47" spans="2:2" x14ac:dyDescent="0.3">
      <c r="B47" s="36"/>
    </row>
    <row r="48" spans="2:2" x14ac:dyDescent="0.3">
      <c r="B48" s="36"/>
    </row>
    <row r="49" spans="2:2" x14ac:dyDescent="0.3">
      <c r="B49" s="36"/>
    </row>
    <row r="50" spans="2:2" x14ac:dyDescent="0.3">
      <c r="B50" s="36"/>
    </row>
    <row r="51" spans="2:2" x14ac:dyDescent="0.3">
      <c r="B51" s="36"/>
    </row>
    <row r="52" spans="2:2" x14ac:dyDescent="0.3">
      <c r="B52" s="36"/>
    </row>
    <row r="53" spans="2:2" x14ac:dyDescent="0.3">
      <c r="B53" s="36"/>
    </row>
    <row r="54" spans="2:2" x14ac:dyDescent="0.3">
      <c r="B54" s="36"/>
    </row>
    <row r="55" spans="2:2" x14ac:dyDescent="0.3">
      <c r="B55" s="36"/>
    </row>
    <row r="56" spans="2:2" x14ac:dyDescent="0.3">
      <c r="B56" s="36"/>
    </row>
    <row r="57" spans="2:2" x14ac:dyDescent="0.3">
      <c r="B57" s="36"/>
    </row>
    <row r="58" spans="2:2" x14ac:dyDescent="0.3">
      <c r="B58" s="36"/>
    </row>
    <row r="59" spans="2:2" x14ac:dyDescent="0.3">
      <c r="B59" s="36"/>
    </row>
    <row r="60" spans="2:2" x14ac:dyDescent="0.3">
      <c r="B60" s="36"/>
    </row>
    <row r="61" spans="2:2" x14ac:dyDescent="0.3">
      <c r="B61" s="36"/>
    </row>
    <row r="62" spans="2:2" x14ac:dyDescent="0.3">
      <c r="B62" s="36"/>
    </row>
    <row r="63" spans="2:2" x14ac:dyDescent="0.3">
      <c r="B63" s="36"/>
    </row>
    <row r="64" spans="2:2" x14ac:dyDescent="0.3">
      <c r="B64" s="36"/>
    </row>
    <row r="65" spans="2:2" x14ac:dyDescent="0.3">
      <c r="B65" s="36"/>
    </row>
    <row r="66" spans="2:2" x14ac:dyDescent="0.3">
      <c r="B66" s="36"/>
    </row>
    <row r="67" spans="2:2" x14ac:dyDescent="0.3">
      <c r="B67" s="36"/>
    </row>
    <row r="68" spans="2:2" x14ac:dyDescent="0.3">
      <c r="B68" s="36"/>
    </row>
    <row r="69" spans="2:2" x14ac:dyDescent="0.3">
      <c r="B69" s="36"/>
    </row>
    <row r="70" spans="2:2" x14ac:dyDescent="0.3">
      <c r="B70" s="36"/>
    </row>
    <row r="71" spans="2:2" x14ac:dyDescent="0.3">
      <c r="B71" s="36"/>
    </row>
    <row r="72" spans="2:2" x14ac:dyDescent="0.3">
      <c r="B72" s="36"/>
    </row>
    <row r="73" spans="2:2" x14ac:dyDescent="0.3">
      <c r="B73" s="36"/>
    </row>
    <row r="74" spans="2:2" x14ac:dyDescent="0.3">
      <c r="B74" s="36"/>
    </row>
    <row r="75" spans="2:2" x14ac:dyDescent="0.3">
      <c r="B75" s="36"/>
    </row>
    <row r="76" spans="2:2" x14ac:dyDescent="0.3">
      <c r="B76" s="36"/>
    </row>
    <row r="77" spans="2:2" x14ac:dyDescent="0.3">
      <c r="B77" s="36"/>
    </row>
    <row r="78" spans="2:2" x14ac:dyDescent="0.3">
      <c r="B78" s="36"/>
    </row>
    <row r="79" spans="2:2" x14ac:dyDescent="0.3">
      <c r="B79" s="36"/>
    </row>
    <row r="80" spans="2:2" x14ac:dyDescent="0.3">
      <c r="B80" s="36"/>
    </row>
    <row r="81" spans="2:2" x14ac:dyDescent="0.3">
      <c r="B81" s="36"/>
    </row>
    <row r="82" spans="2:2" x14ac:dyDescent="0.3">
      <c r="B82" s="36"/>
    </row>
    <row r="83" spans="2:2" x14ac:dyDescent="0.3">
      <c r="B83" s="36"/>
    </row>
    <row r="84" spans="2:2" x14ac:dyDescent="0.3">
      <c r="B84" s="36"/>
    </row>
    <row r="85" spans="2:2" x14ac:dyDescent="0.3">
      <c r="B85" s="36"/>
    </row>
    <row r="86" spans="2:2" x14ac:dyDescent="0.3">
      <c r="B86" s="36"/>
    </row>
    <row r="87" spans="2:2" x14ac:dyDescent="0.3">
      <c r="B87" s="36"/>
    </row>
    <row r="88" spans="2:2" x14ac:dyDescent="0.3">
      <c r="B88" s="36"/>
    </row>
    <row r="89" spans="2:2" x14ac:dyDescent="0.3">
      <c r="B89" s="36"/>
    </row>
    <row r="90" spans="2:2" x14ac:dyDescent="0.3">
      <c r="B90" s="36"/>
    </row>
    <row r="91" spans="2:2" x14ac:dyDescent="0.3">
      <c r="B91" s="36"/>
    </row>
    <row r="92" spans="2:2" x14ac:dyDescent="0.3">
      <c r="B92" s="36"/>
    </row>
    <row r="93" spans="2:2" x14ac:dyDescent="0.3">
      <c r="B93" s="36"/>
    </row>
    <row r="94" spans="2:2" x14ac:dyDescent="0.3">
      <c r="B94" s="36"/>
    </row>
    <row r="95" spans="2:2" x14ac:dyDescent="0.3">
      <c r="B95" s="36"/>
    </row>
    <row r="96" spans="2:2" x14ac:dyDescent="0.3">
      <c r="B96" s="36"/>
    </row>
    <row r="97" spans="2:2" x14ac:dyDescent="0.3">
      <c r="B97" s="36"/>
    </row>
    <row r="98" spans="2:2" x14ac:dyDescent="0.3">
      <c r="B98" s="36"/>
    </row>
    <row r="99" spans="2:2" x14ac:dyDescent="0.3">
      <c r="B99" s="36"/>
    </row>
    <row r="100" spans="2:2" x14ac:dyDescent="0.3">
      <c r="B100" s="36"/>
    </row>
    <row r="101" spans="2:2" x14ac:dyDescent="0.3">
      <c r="B101" s="36"/>
    </row>
    <row r="102" spans="2:2" x14ac:dyDescent="0.3">
      <c r="B102" s="36"/>
    </row>
    <row r="103" spans="2:2" x14ac:dyDescent="0.3">
      <c r="B103" s="36"/>
    </row>
    <row r="104" spans="2:2" x14ac:dyDescent="0.3">
      <c r="B104" s="36"/>
    </row>
    <row r="105" spans="2:2" x14ac:dyDescent="0.3">
      <c r="B105" s="36"/>
    </row>
    <row r="106" spans="2:2" x14ac:dyDescent="0.3">
      <c r="B106" s="36"/>
    </row>
    <row r="107" spans="2:2" x14ac:dyDescent="0.3">
      <c r="B107" s="36"/>
    </row>
    <row r="108" spans="2:2" x14ac:dyDescent="0.3">
      <c r="B108" s="36"/>
    </row>
    <row r="109" spans="2:2" x14ac:dyDescent="0.3">
      <c r="B109" s="36"/>
    </row>
    <row r="110" spans="2:2" x14ac:dyDescent="0.3">
      <c r="B110" s="36"/>
    </row>
    <row r="111" spans="2:2" x14ac:dyDescent="0.3">
      <c r="B111" s="36"/>
    </row>
    <row r="112" spans="2:2" x14ac:dyDescent="0.3">
      <c r="B112" s="36"/>
    </row>
    <row r="113" spans="2:2" x14ac:dyDescent="0.3">
      <c r="B113" s="36"/>
    </row>
    <row r="114" spans="2:2" x14ac:dyDescent="0.3">
      <c r="B114" s="36"/>
    </row>
    <row r="115" spans="2:2" x14ac:dyDescent="0.3">
      <c r="B115" s="36"/>
    </row>
    <row r="116" spans="2:2" x14ac:dyDescent="0.3">
      <c r="B116" s="36"/>
    </row>
    <row r="117" spans="2:2" x14ac:dyDescent="0.3">
      <c r="B117" s="36"/>
    </row>
    <row r="118" spans="2:2" x14ac:dyDescent="0.3">
      <c r="B118" s="36"/>
    </row>
    <row r="119" spans="2:2" x14ac:dyDescent="0.3">
      <c r="B119" s="36"/>
    </row>
    <row r="120" spans="2:2" x14ac:dyDescent="0.3">
      <c r="B120" s="36"/>
    </row>
    <row r="121" spans="2:2" x14ac:dyDescent="0.3">
      <c r="B121" s="36"/>
    </row>
    <row r="122" spans="2:2" x14ac:dyDescent="0.3">
      <c r="B122" s="36"/>
    </row>
    <row r="123" spans="2:2" x14ac:dyDescent="0.3">
      <c r="B123" s="36"/>
    </row>
    <row r="124" spans="2:2" x14ac:dyDescent="0.3">
      <c r="B124" s="36"/>
    </row>
    <row r="125" spans="2:2" x14ac:dyDescent="0.3">
      <c r="B125" s="36"/>
    </row>
    <row r="126" spans="2:2" x14ac:dyDescent="0.3">
      <c r="B126" s="36"/>
    </row>
    <row r="127" spans="2:2" x14ac:dyDescent="0.3">
      <c r="B127" s="36"/>
    </row>
    <row r="128" spans="2:2" x14ac:dyDescent="0.3">
      <c r="B128" s="36"/>
    </row>
    <row r="129" spans="2:2" x14ac:dyDescent="0.3">
      <c r="B129" s="36"/>
    </row>
    <row r="130" spans="2:2" x14ac:dyDescent="0.3">
      <c r="B130" s="36"/>
    </row>
    <row r="131" spans="2:2" x14ac:dyDescent="0.3">
      <c r="B131" s="36"/>
    </row>
    <row r="132" spans="2:2" x14ac:dyDescent="0.3">
      <c r="B132" s="36"/>
    </row>
    <row r="133" spans="2:2" x14ac:dyDescent="0.3">
      <c r="B133" s="36"/>
    </row>
    <row r="134" spans="2:2" x14ac:dyDescent="0.3">
      <c r="B134" s="36"/>
    </row>
  </sheetData>
  <dataConsolidate/>
  <mergeCells count="2">
    <mergeCell ref="E1:K1"/>
    <mergeCell ref="M1:U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Orders Summary</vt:lpstr>
      <vt:lpstr>BloomField</vt:lpstr>
      <vt:lpstr>Farmington</vt:lpstr>
      <vt:lpstr>Glastonbury</vt:lpstr>
      <vt:lpstr>Hartford</vt:lpstr>
      <vt:lpstr>Manchester</vt:lpstr>
      <vt:lpstr>Southington</vt:lpstr>
      <vt:lpstr>West Hartford</vt:lpstr>
      <vt:lpstr>Windsor</vt:lpstr>
      <vt:lpstr>Models 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Manuel Nunez</dc:creator>
  <cp:lastModifiedBy>Chintha Mithra</cp:lastModifiedBy>
  <dcterms:created xsi:type="dcterms:W3CDTF">2007-04-02T04:03:02Z</dcterms:created>
  <dcterms:modified xsi:type="dcterms:W3CDTF">2016-12-10T05:54:48Z</dcterms:modified>
</cp:coreProperties>
</file>